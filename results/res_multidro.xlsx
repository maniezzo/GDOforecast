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GDOforecast\results\"/>
    </mc:Choice>
  </mc:AlternateContent>
  <xr:revisionPtr revIDLastSave="0" documentId="13_ncr:1_{E1C865DC-4970-432A-A13B-8141A5C40AA4}" xr6:coauthVersionLast="47" xr6:coauthVersionMax="47" xr10:uidLastSave="{00000000-0000-0000-0000-000000000000}"/>
  <bookViews>
    <workbookView xWindow="936" yWindow="636" windowWidth="20388" windowHeight="13644" xr2:uid="{C9FFD5E3-00FD-495A-B5B0-4F4E6F374C6B}"/>
  </bookViews>
  <sheets>
    <sheet name="res_multidr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42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17" i="1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  <c r="H43" i="1"/>
  <c r="H25" i="1"/>
  <c r="H7" i="1"/>
  <c r="H6" i="1" l="1"/>
  <c r="H24" i="1"/>
  <c r="H64" i="1"/>
  <c r="H5" i="1"/>
  <c r="H23" i="1"/>
  <c r="H63" i="1"/>
  <c r="H4" i="1"/>
  <c r="H22" i="1"/>
  <c r="H62" i="1"/>
  <c r="H3" i="1"/>
  <c r="H21" i="1"/>
  <c r="H61" i="1"/>
  <c r="H17" i="1"/>
  <c r="H20" i="1"/>
  <c r="H60" i="1"/>
  <c r="H41" i="1"/>
  <c r="H19" i="1"/>
  <c r="H59" i="1"/>
  <c r="H40" i="1"/>
  <c r="H18" i="1"/>
  <c r="H58" i="1"/>
  <c r="H39" i="1"/>
  <c r="H42" i="1"/>
  <c r="H57" i="1"/>
  <c r="H38" i="1"/>
  <c r="H78" i="1"/>
  <c r="H56" i="1"/>
  <c r="H37" i="1"/>
  <c r="H77" i="1"/>
  <c r="H55" i="1"/>
  <c r="H36" i="1"/>
  <c r="H76" i="1"/>
  <c r="H54" i="1"/>
  <c r="H2" i="1"/>
  <c r="H35" i="1"/>
  <c r="H75" i="1"/>
  <c r="H53" i="1"/>
  <c r="H16" i="1"/>
  <c r="H34" i="1"/>
  <c r="H74" i="1"/>
  <c r="H52" i="1"/>
  <c r="H15" i="1"/>
  <c r="H33" i="1"/>
  <c r="H73" i="1"/>
  <c r="H51" i="1"/>
  <c r="H14" i="1"/>
  <c r="H32" i="1"/>
  <c r="H72" i="1"/>
  <c r="H50" i="1"/>
  <c r="H13" i="1"/>
  <c r="H31" i="1"/>
  <c r="H71" i="1"/>
  <c r="H49" i="1"/>
  <c r="H12" i="1"/>
  <c r="H30" i="1"/>
  <c r="H70" i="1"/>
  <c r="H48" i="1"/>
  <c r="H11" i="1"/>
  <c r="H29" i="1"/>
  <c r="H69" i="1"/>
  <c r="H47" i="1"/>
  <c r="H10" i="1"/>
  <c r="H28" i="1"/>
  <c r="H68" i="1"/>
  <c r="H46" i="1"/>
  <c r="H9" i="1"/>
  <c r="H27" i="1"/>
  <c r="H67" i="1"/>
  <c r="H45" i="1"/>
  <c r="H8" i="1"/>
  <c r="H26" i="1"/>
  <c r="H66" i="1"/>
  <c r="H44" i="1"/>
  <c r="H65" i="1"/>
</calcChain>
</file>

<file path=xl/sharedStrings.xml><?xml version="1.0" encoding="utf-8"?>
<sst xmlns="http://schemas.openxmlformats.org/spreadsheetml/2006/main" count="89" uniqueCount="9">
  <si>
    <t>Instance</t>
  </si>
  <si>
    <t>num.boost</t>
  </si>
  <si>
    <t>repet.</t>
  </si>
  <si>
    <t>SAA</t>
  </si>
  <si>
    <t>ETS-SAA</t>
  </si>
  <si>
    <t>DRO</t>
  </si>
  <si>
    <t>WEK</t>
  </si>
  <si>
    <t>inst_52_4_0_0</t>
  </si>
  <si>
    <t>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</si>
</sst>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10" xfId="0" applyBorder="1"/>
    <xf numFmtId="0" fontId="0" fillId="0" borderId="11" xfId="0" applyBorder="1"/>
    <xf numFmtId="0" fontId="0" fillId="0" borderId="12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A6DF6-3634-471C-8CDC-F38FCBC1D04C}">
  <dimension ref="A1:L78"/>
  <sheetViews>
    <sheetView tabSelected="1" workbookViewId="0">
      <selection activeCell="J70" sqref="J70"/>
    </sheetView>
  </sheetViews>
  <sheetFormatPr defaultRowHeight="15.6" x14ac:dyDescent="0.3"/>
  <cols>
    <col min="9" max="9" width="8.796875" style="2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3</v>
      </c>
      <c r="J1" t="s">
        <v>4</v>
      </c>
      <c r="K1" t="s">
        <v>5</v>
      </c>
      <c r="L1" t="s">
        <v>6</v>
      </c>
    </row>
    <row r="2" spans="1:12" x14ac:dyDescent="0.3">
      <c r="A2" t="s">
        <v>7</v>
      </c>
      <c r="B2">
        <v>75</v>
      </c>
      <c r="C2">
        <v>0</v>
      </c>
      <c r="D2">
        <v>20487</v>
      </c>
      <c r="E2">
        <f>ROUND( $H2*J$3+J$2,0)</f>
        <v>19885</v>
      </c>
      <c r="F2">
        <f t="shared" ref="F2:G16" si="0">ROUND( $H2*K$3+K$2,0)</f>
        <v>20492</v>
      </c>
      <c r="G2">
        <f t="shared" si="0"/>
        <v>20478</v>
      </c>
      <c r="H2">
        <f>(D2-I$2)/I$3</f>
        <v>-0.2490165143189591</v>
      </c>
      <c r="I2" s="2">
        <v>20528.866666666665</v>
      </c>
      <c r="J2" s="2">
        <v>19918</v>
      </c>
      <c r="K2" s="2">
        <v>20535</v>
      </c>
      <c r="L2" s="2">
        <v>20515.933333333334</v>
      </c>
    </row>
    <row r="3" spans="1:12" x14ac:dyDescent="0.3">
      <c r="A3" t="s">
        <v>7</v>
      </c>
      <c r="B3">
        <v>75</v>
      </c>
      <c r="C3">
        <v>1</v>
      </c>
      <c r="D3">
        <v>20455</v>
      </c>
      <c r="E3">
        <f t="shared" ref="E3:E17" si="1">ROUND( $H3*J$3+J$2,0)</f>
        <v>19860</v>
      </c>
      <c r="F3">
        <f t="shared" si="0"/>
        <v>20459</v>
      </c>
      <c r="G3">
        <f t="shared" si="0"/>
        <v>20449</v>
      </c>
      <c r="H3">
        <f t="shared" ref="H3:H16" si="2">(D3-I$2)/I$3</f>
        <v>-0.43934760806594192</v>
      </c>
      <c r="I3" s="2">
        <v>168.12807287567679</v>
      </c>
      <c r="J3" s="2">
        <v>132.11812896041178</v>
      </c>
      <c r="K3" s="2">
        <v>173.9279544332461</v>
      </c>
      <c r="L3" s="2">
        <v>151.9295743282247</v>
      </c>
    </row>
    <row r="4" spans="1:12" x14ac:dyDescent="0.3">
      <c r="A4" t="s">
        <v>7</v>
      </c>
      <c r="B4">
        <v>75</v>
      </c>
      <c r="C4">
        <v>2</v>
      </c>
      <c r="D4">
        <v>20766</v>
      </c>
      <c r="E4">
        <f t="shared" si="1"/>
        <v>20104</v>
      </c>
      <c r="F4">
        <f t="shared" si="0"/>
        <v>20780</v>
      </c>
      <c r="G4">
        <f t="shared" si="0"/>
        <v>20730</v>
      </c>
      <c r="H4">
        <f t="shared" si="2"/>
        <v>1.4104327092875475</v>
      </c>
    </row>
    <row r="5" spans="1:12" x14ac:dyDescent="0.3">
      <c r="A5" t="s">
        <v>7</v>
      </c>
      <c r="B5">
        <v>75</v>
      </c>
      <c r="C5">
        <v>3</v>
      </c>
      <c r="D5">
        <v>20595</v>
      </c>
      <c r="E5">
        <f t="shared" si="1"/>
        <v>19970</v>
      </c>
      <c r="F5">
        <f t="shared" si="0"/>
        <v>20603</v>
      </c>
      <c r="G5">
        <f t="shared" si="0"/>
        <v>20576</v>
      </c>
      <c r="H5">
        <f t="shared" si="2"/>
        <v>0.39335092707710795</v>
      </c>
    </row>
    <row r="6" spans="1:12" x14ac:dyDescent="0.3">
      <c r="A6" t="s">
        <v>7</v>
      </c>
      <c r="B6">
        <v>75</v>
      </c>
      <c r="C6">
        <v>4</v>
      </c>
      <c r="D6">
        <v>20381</v>
      </c>
      <c r="E6">
        <f t="shared" si="1"/>
        <v>19802</v>
      </c>
      <c r="F6">
        <f t="shared" si="0"/>
        <v>20382</v>
      </c>
      <c r="G6">
        <f t="shared" si="0"/>
        <v>20382</v>
      </c>
      <c r="H6">
        <f t="shared" si="2"/>
        <v>-0.87948826235583966</v>
      </c>
    </row>
    <row r="7" spans="1:12" x14ac:dyDescent="0.3">
      <c r="A7" t="s">
        <v>7</v>
      </c>
      <c r="B7">
        <v>75</v>
      </c>
      <c r="C7">
        <v>5</v>
      </c>
      <c r="D7">
        <v>20767</v>
      </c>
      <c r="E7">
        <f t="shared" si="1"/>
        <v>20105</v>
      </c>
      <c r="F7">
        <f t="shared" si="0"/>
        <v>20781</v>
      </c>
      <c r="G7">
        <f t="shared" si="0"/>
        <v>20731</v>
      </c>
      <c r="H7">
        <f t="shared" si="2"/>
        <v>1.4163805559671405</v>
      </c>
    </row>
    <row r="8" spans="1:12" x14ac:dyDescent="0.3">
      <c r="A8" t="s">
        <v>7</v>
      </c>
      <c r="B8">
        <v>75</v>
      </c>
      <c r="C8">
        <v>6</v>
      </c>
      <c r="D8">
        <v>20383</v>
      </c>
      <c r="E8">
        <f t="shared" si="1"/>
        <v>19803</v>
      </c>
      <c r="F8">
        <f t="shared" si="0"/>
        <v>20384</v>
      </c>
      <c r="G8">
        <f t="shared" si="0"/>
        <v>20384</v>
      </c>
      <c r="H8">
        <f t="shared" si="2"/>
        <v>-0.86759256899665327</v>
      </c>
    </row>
    <row r="9" spans="1:12" x14ac:dyDescent="0.3">
      <c r="A9" t="s">
        <v>7</v>
      </c>
      <c r="B9">
        <v>75</v>
      </c>
      <c r="C9">
        <v>7</v>
      </c>
      <c r="D9">
        <v>20576</v>
      </c>
      <c r="E9">
        <f t="shared" si="1"/>
        <v>19955</v>
      </c>
      <c r="F9">
        <f t="shared" si="0"/>
        <v>20584</v>
      </c>
      <c r="G9">
        <f t="shared" si="0"/>
        <v>20559</v>
      </c>
      <c r="H9">
        <f t="shared" si="2"/>
        <v>0.28034184016483688</v>
      </c>
    </row>
    <row r="10" spans="1:12" x14ac:dyDescent="0.3">
      <c r="A10" t="s">
        <v>7</v>
      </c>
      <c r="B10">
        <v>75</v>
      </c>
      <c r="C10">
        <v>8</v>
      </c>
      <c r="D10">
        <v>20834</v>
      </c>
      <c r="E10">
        <f t="shared" si="1"/>
        <v>20158</v>
      </c>
      <c r="F10">
        <f t="shared" si="0"/>
        <v>20851</v>
      </c>
      <c r="G10">
        <f t="shared" si="0"/>
        <v>20792</v>
      </c>
      <c r="H10">
        <f t="shared" si="2"/>
        <v>1.814886283499886</v>
      </c>
    </row>
    <row r="11" spans="1:12" x14ac:dyDescent="0.3">
      <c r="A11" t="s">
        <v>7</v>
      </c>
      <c r="B11">
        <v>75</v>
      </c>
      <c r="C11">
        <v>9</v>
      </c>
      <c r="D11">
        <v>20466</v>
      </c>
      <c r="E11">
        <f t="shared" si="1"/>
        <v>19869</v>
      </c>
      <c r="F11">
        <f t="shared" si="0"/>
        <v>20470</v>
      </c>
      <c r="G11">
        <f t="shared" si="0"/>
        <v>20459</v>
      </c>
      <c r="H11">
        <f t="shared" si="2"/>
        <v>-0.37392129459041656</v>
      </c>
    </row>
    <row r="12" spans="1:12" x14ac:dyDescent="0.3">
      <c r="A12" t="s">
        <v>7</v>
      </c>
      <c r="B12">
        <v>75</v>
      </c>
      <c r="C12">
        <v>10</v>
      </c>
      <c r="D12">
        <v>20393</v>
      </c>
      <c r="E12">
        <f t="shared" si="1"/>
        <v>19811</v>
      </c>
      <c r="F12">
        <f t="shared" si="0"/>
        <v>20394</v>
      </c>
      <c r="G12">
        <f t="shared" si="0"/>
        <v>20393</v>
      </c>
      <c r="H12">
        <f t="shared" si="2"/>
        <v>-0.80811410220072111</v>
      </c>
    </row>
    <row r="13" spans="1:12" x14ac:dyDescent="0.3">
      <c r="A13" t="s">
        <v>7</v>
      </c>
      <c r="B13">
        <v>75</v>
      </c>
      <c r="C13">
        <v>11</v>
      </c>
      <c r="D13">
        <v>20580</v>
      </c>
      <c r="E13">
        <f t="shared" si="1"/>
        <v>19958</v>
      </c>
      <c r="F13">
        <f t="shared" si="0"/>
        <v>20588</v>
      </c>
      <c r="G13">
        <f t="shared" si="0"/>
        <v>20562</v>
      </c>
      <c r="H13">
        <f t="shared" si="2"/>
        <v>0.30413322688320976</v>
      </c>
    </row>
    <row r="14" spans="1:12" x14ac:dyDescent="0.3">
      <c r="A14" t="s">
        <v>7</v>
      </c>
      <c r="B14">
        <v>75</v>
      </c>
      <c r="C14">
        <v>12</v>
      </c>
      <c r="D14">
        <v>20231</v>
      </c>
      <c r="E14">
        <f t="shared" si="1"/>
        <v>19684</v>
      </c>
      <c r="F14">
        <f t="shared" si="0"/>
        <v>20227</v>
      </c>
      <c r="G14">
        <f t="shared" si="0"/>
        <v>20247</v>
      </c>
      <c r="H14">
        <f t="shared" si="2"/>
        <v>-1.7716652642948216</v>
      </c>
    </row>
    <row r="15" spans="1:12" x14ac:dyDescent="0.3">
      <c r="A15" t="s">
        <v>7</v>
      </c>
      <c r="B15">
        <v>75</v>
      </c>
      <c r="C15">
        <v>13</v>
      </c>
      <c r="D15">
        <v>20662</v>
      </c>
      <c r="E15">
        <f t="shared" si="1"/>
        <v>20023</v>
      </c>
      <c r="F15">
        <f t="shared" si="0"/>
        <v>20673</v>
      </c>
      <c r="G15">
        <f t="shared" si="0"/>
        <v>20636</v>
      </c>
      <c r="H15">
        <f t="shared" si="2"/>
        <v>0.79185665460985322</v>
      </c>
    </row>
    <row r="16" spans="1:12" s="1" customFormat="1" x14ac:dyDescent="0.3">
      <c r="A16" s="1" t="s">
        <v>7</v>
      </c>
      <c r="B16" s="1">
        <v>75</v>
      </c>
      <c r="C16" s="1">
        <v>14</v>
      </c>
      <c r="D16" s="1">
        <v>20357</v>
      </c>
      <c r="E16">
        <f t="shared" si="1"/>
        <v>19783</v>
      </c>
      <c r="F16">
        <f t="shared" si="0"/>
        <v>20357</v>
      </c>
      <c r="G16">
        <f t="shared" si="0"/>
        <v>20361</v>
      </c>
      <c r="H16">
        <f t="shared" si="2"/>
        <v>-1.0222365826660769</v>
      </c>
      <c r="I16" s="3"/>
    </row>
    <row r="17" spans="1:12" x14ac:dyDescent="0.3">
      <c r="A17" t="s">
        <v>7</v>
      </c>
      <c r="B17">
        <v>125</v>
      </c>
      <c r="C17">
        <v>0</v>
      </c>
      <c r="D17">
        <v>20414</v>
      </c>
      <c r="E17">
        <f>ROUND( $H17*J$18+J$17,0)</f>
        <v>20119</v>
      </c>
      <c r="F17">
        <f t="shared" ref="F17:G32" si="3">ROUND( $H17*K$18+K$17,0)</f>
        <v>20529</v>
      </c>
      <c r="G17">
        <f t="shared" si="3"/>
        <v>20425</v>
      </c>
      <c r="H17">
        <f>(D17-I$17)/I$18</f>
        <v>-0.73835535955742937</v>
      </c>
      <c r="I17" s="2">
        <v>20555.36</v>
      </c>
      <c r="J17" s="2">
        <v>20234</v>
      </c>
      <c r="K17" s="2">
        <v>20677.919999999998</v>
      </c>
      <c r="L17" s="2">
        <v>20560.080000000002</v>
      </c>
    </row>
    <row r="18" spans="1:12" x14ac:dyDescent="0.3">
      <c r="A18" t="s">
        <v>7</v>
      </c>
      <c r="B18">
        <v>125</v>
      </c>
      <c r="C18">
        <v>1</v>
      </c>
      <c r="D18">
        <v>20624</v>
      </c>
      <c r="E18">
        <f t="shared" ref="E18:E42" si="4">ROUND( $H18*J$18+J$17,0)</f>
        <v>20290</v>
      </c>
      <c r="F18">
        <f t="shared" si="3"/>
        <v>20750</v>
      </c>
      <c r="G18">
        <f t="shared" si="3"/>
        <v>20626</v>
      </c>
      <c r="H18">
        <f t="shared" ref="H18:H41" si="5">(D18-I$17)/I$18</f>
        <v>0.35852229683093739</v>
      </c>
      <c r="I18" s="2">
        <v>191.45252779736285</v>
      </c>
      <c r="J18" s="2">
        <v>156.05665637838072</v>
      </c>
      <c r="K18" s="2">
        <v>202.02037917002335</v>
      </c>
      <c r="L18" s="2">
        <v>183.01255038931075</v>
      </c>
    </row>
    <row r="19" spans="1:12" x14ac:dyDescent="0.3">
      <c r="A19" t="s">
        <v>7</v>
      </c>
      <c r="B19">
        <v>125</v>
      </c>
      <c r="C19">
        <v>2</v>
      </c>
      <c r="D19">
        <v>20716</v>
      </c>
      <c r="E19">
        <f t="shared" si="4"/>
        <v>20365</v>
      </c>
      <c r="F19">
        <f t="shared" si="3"/>
        <v>20847</v>
      </c>
      <c r="G19">
        <f t="shared" si="3"/>
        <v>20714</v>
      </c>
      <c r="H19">
        <f t="shared" si="5"/>
        <v>0.83905917486774573</v>
      </c>
    </row>
    <row r="20" spans="1:12" x14ac:dyDescent="0.3">
      <c r="A20" t="s">
        <v>7</v>
      </c>
      <c r="B20">
        <v>125</v>
      </c>
      <c r="C20">
        <v>3</v>
      </c>
      <c r="D20">
        <v>20304</v>
      </c>
      <c r="E20">
        <f t="shared" si="4"/>
        <v>20029</v>
      </c>
      <c r="F20">
        <f t="shared" si="3"/>
        <v>20413</v>
      </c>
      <c r="G20">
        <f t="shared" si="3"/>
        <v>20320</v>
      </c>
      <c r="H20">
        <f t="shared" si="5"/>
        <v>-1.3129103224275263</v>
      </c>
    </row>
    <row r="21" spans="1:12" x14ac:dyDescent="0.3">
      <c r="A21" t="s">
        <v>7</v>
      </c>
      <c r="B21">
        <v>125</v>
      </c>
      <c r="C21">
        <v>4</v>
      </c>
      <c r="D21">
        <v>20471</v>
      </c>
      <c r="E21">
        <f t="shared" si="4"/>
        <v>20165</v>
      </c>
      <c r="F21">
        <f t="shared" si="3"/>
        <v>20589</v>
      </c>
      <c r="G21">
        <f t="shared" si="3"/>
        <v>20479</v>
      </c>
      <c r="H21">
        <f t="shared" si="5"/>
        <v>-0.44063142425201551</v>
      </c>
    </row>
    <row r="22" spans="1:12" x14ac:dyDescent="0.3">
      <c r="A22" t="s">
        <v>7</v>
      </c>
      <c r="B22">
        <v>125</v>
      </c>
      <c r="C22">
        <v>5</v>
      </c>
      <c r="D22">
        <v>20814</v>
      </c>
      <c r="E22">
        <f t="shared" si="4"/>
        <v>20445</v>
      </c>
      <c r="F22">
        <f t="shared" si="3"/>
        <v>20951</v>
      </c>
      <c r="G22">
        <f t="shared" si="3"/>
        <v>20807</v>
      </c>
      <c r="H22">
        <f t="shared" si="5"/>
        <v>1.3509354145156502</v>
      </c>
    </row>
    <row r="23" spans="1:12" x14ac:dyDescent="0.3">
      <c r="A23" t="s">
        <v>7</v>
      </c>
      <c r="B23">
        <v>125</v>
      </c>
      <c r="C23">
        <v>6</v>
      </c>
      <c r="D23">
        <v>20262</v>
      </c>
      <c r="E23">
        <f t="shared" si="4"/>
        <v>19995</v>
      </c>
      <c r="F23">
        <f t="shared" si="3"/>
        <v>20368</v>
      </c>
      <c r="G23">
        <f t="shared" si="3"/>
        <v>20280</v>
      </c>
      <c r="H23">
        <f t="shared" si="5"/>
        <v>-1.5322858537051995</v>
      </c>
    </row>
    <row r="24" spans="1:12" x14ac:dyDescent="0.3">
      <c r="A24" t="s">
        <v>7</v>
      </c>
      <c r="B24">
        <v>125</v>
      </c>
      <c r="C24">
        <v>7</v>
      </c>
      <c r="D24">
        <v>20717</v>
      </c>
      <c r="E24">
        <f t="shared" si="4"/>
        <v>20366</v>
      </c>
      <c r="F24">
        <f t="shared" si="3"/>
        <v>20848</v>
      </c>
      <c r="G24">
        <f t="shared" si="3"/>
        <v>20715</v>
      </c>
      <c r="H24">
        <f t="shared" si="5"/>
        <v>0.84428240180292835</v>
      </c>
    </row>
    <row r="25" spans="1:12" x14ac:dyDescent="0.3">
      <c r="A25" t="s">
        <v>7</v>
      </c>
      <c r="B25">
        <v>125</v>
      </c>
      <c r="C25">
        <v>8</v>
      </c>
      <c r="D25">
        <v>21006</v>
      </c>
      <c r="E25">
        <f t="shared" si="4"/>
        <v>20601</v>
      </c>
      <c r="F25">
        <f t="shared" si="3"/>
        <v>21153</v>
      </c>
      <c r="G25">
        <f t="shared" si="3"/>
        <v>20991</v>
      </c>
      <c r="H25">
        <f t="shared" si="5"/>
        <v>2.3537949860707283</v>
      </c>
    </row>
    <row r="26" spans="1:12" x14ac:dyDescent="0.3">
      <c r="A26" t="s">
        <v>7</v>
      </c>
      <c r="B26">
        <v>125</v>
      </c>
      <c r="C26">
        <v>9</v>
      </c>
      <c r="D26">
        <v>20755</v>
      </c>
      <c r="E26">
        <f t="shared" si="4"/>
        <v>20397</v>
      </c>
      <c r="F26">
        <f t="shared" si="3"/>
        <v>20889</v>
      </c>
      <c r="G26">
        <f t="shared" si="3"/>
        <v>20751</v>
      </c>
      <c r="H26">
        <f t="shared" si="5"/>
        <v>1.042765025339871</v>
      </c>
    </row>
    <row r="27" spans="1:12" x14ac:dyDescent="0.3">
      <c r="A27" t="s">
        <v>7</v>
      </c>
      <c r="B27">
        <v>125</v>
      </c>
      <c r="C27">
        <v>10</v>
      </c>
      <c r="D27">
        <v>20459</v>
      </c>
      <c r="E27">
        <f t="shared" si="4"/>
        <v>20155</v>
      </c>
      <c r="F27">
        <f t="shared" si="3"/>
        <v>20576</v>
      </c>
      <c r="G27">
        <f t="shared" si="3"/>
        <v>20468</v>
      </c>
      <c r="H27">
        <f t="shared" si="5"/>
        <v>-0.50331014747420788</v>
      </c>
    </row>
    <row r="28" spans="1:12" x14ac:dyDescent="0.3">
      <c r="A28" t="s">
        <v>7</v>
      </c>
      <c r="B28">
        <v>125</v>
      </c>
      <c r="C28">
        <v>11</v>
      </c>
      <c r="D28">
        <v>20549</v>
      </c>
      <c r="E28">
        <f t="shared" si="4"/>
        <v>20229</v>
      </c>
      <c r="F28">
        <f t="shared" si="3"/>
        <v>20671</v>
      </c>
      <c r="G28">
        <f t="shared" si="3"/>
        <v>20554</v>
      </c>
      <c r="H28">
        <f t="shared" si="5"/>
        <v>-3.3219723307765008E-2</v>
      </c>
    </row>
    <row r="29" spans="1:12" x14ac:dyDescent="0.3">
      <c r="A29" t="s">
        <v>7</v>
      </c>
      <c r="B29">
        <v>125</v>
      </c>
      <c r="C29">
        <v>12</v>
      </c>
      <c r="D29">
        <v>20557</v>
      </c>
      <c r="E29">
        <f t="shared" si="4"/>
        <v>20235</v>
      </c>
      <c r="F29">
        <f t="shared" si="3"/>
        <v>20680</v>
      </c>
      <c r="G29">
        <f t="shared" si="3"/>
        <v>20562</v>
      </c>
      <c r="H29">
        <f t="shared" si="5"/>
        <v>8.5660921736965857E-3</v>
      </c>
    </row>
    <row r="30" spans="1:12" x14ac:dyDescent="0.3">
      <c r="A30" t="s">
        <v>7</v>
      </c>
      <c r="B30">
        <v>125</v>
      </c>
      <c r="C30">
        <v>13</v>
      </c>
      <c r="D30">
        <v>20738</v>
      </c>
      <c r="E30">
        <f t="shared" si="4"/>
        <v>20383</v>
      </c>
      <c r="F30">
        <f t="shared" si="3"/>
        <v>20871</v>
      </c>
      <c r="G30">
        <f t="shared" si="3"/>
        <v>20735</v>
      </c>
      <c r="H30">
        <f t="shared" si="5"/>
        <v>0.9539701674417651</v>
      </c>
    </row>
    <row r="31" spans="1:12" x14ac:dyDescent="0.3">
      <c r="A31" t="s">
        <v>7</v>
      </c>
      <c r="B31">
        <v>125</v>
      </c>
      <c r="C31">
        <v>14</v>
      </c>
      <c r="D31">
        <v>20632</v>
      </c>
      <c r="E31">
        <f t="shared" si="4"/>
        <v>20296</v>
      </c>
      <c r="F31">
        <f t="shared" si="3"/>
        <v>20759</v>
      </c>
      <c r="G31">
        <f t="shared" si="3"/>
        <v>20633</v>
      </c>
      <c r="H31">
        <f t="shared" si="5"/>
        <v>0.40030811231239899</v>
      </c>
    </row>
    <row r="32" spans="1:12" x14ac:dyDescent="0.3">
      <c r="A32" t="s">
        <v>7</v>
      </c>
      <c r="B32">
        <v>125</v>
      </c>
      <c r="C32">
        <v>15</v>
      </c>
      <c r="D32">
        <v>20586</v>
      </c>
      <c r="E32">
        <f t="shared" si="4"/>
        <v>20259</v>
      </c>
      <c r="F32">
        <f t="shared" si="3"/>
        <v>20710</v>
      </c>
      <c r="G32">
        <f t="shared" si="3"/>
        <v>20589</v>
      </c>
      <c r="H32">
        <f t="shared" si="5"/>
        <v>0.16003967329399485</v>
      </c>
    </row>
    <row r="33" spans="1:12" x14ac:dyDescent="0.3">
      <c r="A33" t="s">
        <v>7</v>
      </c>
      <c r="B33">
        <v>125</v>
      </c>
      <c r="C33">
        <v>16</v>
      </c>
      <c r="D33">
        <v>20330</v>
      </c>
      <c r="E33">
        <f t="shared" si="4"/>
        <v>20050</v>
      </c>
      <c r="F33">
        <f t="shared" ref="F33:F41" si="6">ROUND( $H33*K$18+K$17,0)</f>
        <v>20440</v>
      </c>
      <c r="G33">
        <f t="shared" ref="G33:G41" si="7">ROUND( $H33*L$18+L$17,0)</f>
        <v>20345</v>
      </c>
      <c r="H33">
        <f t="shared" si="5"/>
        <v>-1.1771064221127761</v>
      </c>
    </row>
    <row r="34" spans="1:12" x14ac:dyDescent="0.3">
      <c r="A34" t="s">
        <v>7</v>
      </c>
      <c r="B34">
        <v>125</v>
      </c>
      <c r="C34">
        <v>17</v>
      </c>
      <c r="D34">
        <v>20370</v>
      </c>
      <c r="E34">
        <f t="shared" si="4"/>
        <v>20083</v>
      </c>
      <c r="F34">
        <f t="shared" si="6"/>
        <v>20482</v>
      </c>
      <c r="G34">
        <f t="shared" si="7"/>
        <v>20383</v>
      </c>
      <c r="H34">
        <f t="shared" si="5"/>
        <v>-0.96817734470546812</v>
      </c>
    </row>
    <row r="35" spans="1:12" x14ac:dyDescent="0.3">
      <c r="A35" t="s">
        <v>7</v>
      </c>
      <c r="B35">
        <v>125</v>
      </c>
      <c r="C35">
        <v>18</v>
      </c>
      <c r="D35">
        <v>20453</v>
      </c>
      <c r="E35">
        <f t="shared" si="4"/>
        <v>20151</v>
      </c>
      <c r="F35">
        <f t="shared" si="6"/>
        <v>20570</v>
      </c>
      <c r="G35">
        <f t="shared" si="7"/>
        <v>20462</v>
      </c>
      <c r="H35">
        <f t="shared" si="5"/>
        <v>-0.53464950908530406</v>
      </c>
    </row>
    <row r="36" spans="1:12" x14ac:dyDescent="0.3">
      <c r="A36" t="s">
        <v>7</v>
      </c>
      <c r="B36">
        <v>125</v>
      </c>
      <c r="C36">
        <v>19</v>
      </c>
      <c r="D36">
        <v>20364</v>
      </c>
      <c r="E36">
        <f t="shared" si="4"/>
        <v>20078</v>
      </c>
      <c r="F36">
        <f t="shared" si="6"/>
        <v>20476</v>
      </c>
      <c r="G36">
        <f t="shared" si="7"/>
        <v>20377</v>
      </c>
      <c r="H36">
        <f t="shared" si="5"/>
        <v>-0.99951670631656431</v>
      </c>
    </row>
    <row r="37" spans="1:12" x14ac:dyDescent="0.3">
      <c r="A37" t="s">
        <v>7</v>
      </c>
      <c r="B37">
        <v>125</v>
      </c>
      <c r="C37">
        <v>20</v>
      </c>
      <c r="D37">
        <v>20744</v>
      </c>
      <c r="E37">
        <f t="shared" si="4"/>
        <v>20388</v>
      </c>
      <c r="F37">
        <f t="shared" si="6"/>
        <v>20877</v>
      </c>
      <c r="G37">
        <f t="shared" si="7"/>
        <v>20740</v>
      </c>
      <c r="H37">
        <f t="shared" si="5"/>
        <v>0.98530952905286129</v>
      </c>
    </row>
    <row r="38" spans="1:12" x14ac:dyDescent="0.3">
      <c r="A38" t="s">
        <v>7</v>
      </c>
      <c r="B38">
        <v>125</v>
      </c>
      <c r="C38">
        <v>21</v>
      </c>
      <c r="D38">
        <v>20708</v>
      </c>
      <c r="E38">
        <f t="shared" si="4"/>
        <v>20358</v>
      </c>
      <c r="F38">
        <f t="shared" si="6"/>
        <v>20839</v>
      </c>
      <c r="G38">
        <f t="shared" si="7"/>
        <v>20706</v>
      </c>
      <c r="H38">
        <f t="shared" si="5"/>
        <v>0.79727335938628408</v>
      </c>
    </row>
    <row r="39" spans="1:12" x14ac:dyDescent="0.3">
      <c r="A39" t="s">
        <v>7</v>
      </c>
      <c r="B39">
        <v>125</v>
      </c>
      <c r="C39">
        <v>22</v>
      </c>
      <c r="D39">
        <v>20679</v>
      </c>
      <c r="E39">
        <f t="shared" si="4"/>
        <v>20335</v>
      </c>
      <c r="F39">
        <f t="shared" si="6"/>
        <v>20808</v>
      </c>
      <c r="G39">
        <f t="shared" si="7"/>
        <v>20678</v>
      </c>
      <c r="H39">
        <f t="shared" si="5"/>
        <v>0.64579977826598589</v>
      </c>
    </row>
    <row r="40" spans="1:12" x14ac:dyDescent="0.3">
      <c r="A40" t="s">
        <v>7</v>
      </c>
      <c r="B40">
        <v>125</v>
      </c>
      <c r="C40">
        <v>23</v>
      </c>
      <c r="D40">
        <v>20277</v>
      </c>
      <c r="E40">
        <f t="shared" si="4"/>
        <v>20007</v>
      </c>
      <c r="F40">
        <f t="shared" si="6"/>
        <v>20384</v>
      </c>
      <c r="G40">
        <f t="shared" si="7"/>
        <v>20294</v>
      </c>
      <c r="H40">
        <f t="shared" si="5"/>
        <v>-1.4539374496774591</v>
      </c>
    </row>
    <row r="41" spans="1:12" s="1" customFormat="1" x14ac:dyDescent="0.3">
      <c r="A41" s="1" t="s">
        <v>7</v>
      </c>
      <c r="B41" s="1">
        <v>125</v>
      </c>
      <c r="C41" s="1">
        <v>24</v>
      </c>
      <c r="D41" s="1">
        <v>20355</v>
      </c>
      <c r="E41">
        <f t="shared" si="4"/>
        <v>20071</v>
      </c>
      <c r="F41">
        <f t="shared" si="6"/>
        <v>20467</v>
      </c>
      <c r="G41">
        <f t="shared" si="7"/>
        <v>20369</v>
      </c>
      <c r="H41">
        <f t="shared" si="5"/>
        <v>-1.0465257487332085</v>
      </c>
      <c r="I41" s="3"/>
    </row>
    <row r="42" spans="1:12" x14ac:dyDescent="0.3">
      <c r="A42" t="s">
        <v>7</v>
      </c>
      <c r="B42">
        <v>175</v>
      </c>
      <c r="C42">
        <v>0</v>
      </c>
      <c r="D42">
        <v>21883</v>
      </c>
      <c r="E42">
        <f>ROUND( $H42*J$43+J$42,0)</f>
        <v>20879</v>
      </c>
      <c r="F42">
        <f t="shared" ref="F42:G57" si="8">ROUND( $H42*K$43+K$42,0)</f>
        <v>21974</v>
      </c>
      <c r="G42">
        <f t="shared" si="8"/>
        <v>21519</v>
      </c>
      <c r="H42">
        <f>(D42-I$42)/I$43</f>
        <v>-0.55367752377277335</v>
      </c>
      <c r="I42" s="2">
        <v>22028.864864864863</v>
      </c>
      <c r="J42" s="2">
        <v>20985.027027027027</v>
      </c>
      <c r="K42" s="2">
        <v>22140.432432432433</v>
      </c>
      <c r="L42" s="2">
        <v>21642.594594594593</v>
      </c>
    </row>
    <row r="43" spans="1:12" x14ac:dyDescent="0.3">
      <c r="A43" t="s">
        <v>7</v>
      </c>
      <c r="B43">
        <v>175</v>
      </c>
      <c r="C43">
        <v>1</v>
      </c>
      <c r="D43">
        <v>22048</v>
      </c>
      <c r="E43">
        <f t="shared" ref="E43:E78" si="9">ROUND( $H43*J$43+J$42,0)</f>
        <v>20999</v>
      </c>
      <c r="F43">
        <f t="shared" si="8"/>
        <v>22162</v>
      </c>
      <c r="G43">
        <f t="shared" si="8"/>
        <v>21659</v>
      </c>
      <c r="H43">
        <f t="shared" ref="H43:H78" si="10">(D43-I$42)/I$43</f>
        <v>7.2633627354300956E-2</v>
      </c>
      <c r="I43" s="2">
        <v>263.44732917987375</v>
      </c>
      <c r="J43" s="2">
        <v>192.04088619937818</v>
      </c>
      <c r="K43" s="2">
        <v>301.02918423127704</v>
      </c>
      <c r="L43" s="2">
        <v>223.0065396519536</v>
      </c>
    </row>
    <row r="44" spans="1:12" x14ac:dyDescent="0.3">
      <c r="A44" t="s">
        <v>7</v>
      </c>
      <c r="B44">
        <v>175</v>
      </c>
      <c r="C44">
        <v>2</v>
      </c>
      <c r="D44">
        <v>22294</v>
      </c>
      <c r="E44">
        <f t="shared" si="9"/>
        <v>21178</v>
      </c>
      <c r="F44">
        <f t="shared" si="8"/>
        <v>22443</v>
      </c>
      <c r="G44">
        <f t="shared" si="8"/>
        <v>21867</v>
      </c>
      <c r="H44">
        <f t="shared" si="10"/>
        <v>1.0064066163073935</v>
      </c>
    </row>
    <row r="45" spans="1:12" x14ac:dyDescent="0.3">
      <c r="A45" t="s">
        <v>7</v>
      </c>
      <c r="B45">
        <v>175</v>
      </c>
      <c r="C45">
        <v>3</v>
      </c>
      <c r="D45">
        <v>22243</v>
      </c>
      <c r="E45">
        <f t="shared" si="9"/>
        <v>21141</v>
      </c>
      <c r="F45">
        <f t="shared" si="8"/>
        <v>22385</v>
      </c>
      <c r="G45">
        <f t="shared" si="8"/>
        <v>21824</v>
      </c>
      <c r="H45">
        <f t="shared" si="10"/>
        <v>0.81281953323175238</v>
      </c>
    </row>
    <row r="46" spans="1:12" x14ac:dyDescent="0.3">
      <c r="A46" t="s">
        <v>7</v>
      </c>
      <c r="B46">
        <v>175</v>
      </c>
      <c r="C46">
        <v>4</v>
      </c>
      <c r="D46">
        <v>22142</v>
      </c>
      <c r="E46">
        <f t="shared" si="9"/>
        <v>21067</v>
      </c>
      <c r="F46">
        <f t="shared" si="8"/>
        <v>22270</v>
      </c>
      <c r="G46">
        <f t="shared" si="8"/>
        <v>21738</v>
      </c>
      <c r="H46">
        <f t="shared" si="10"/>
        <v>0.42944119223881599</v>
      </c>
    </row>
    <row r="47" spans="1:12" x14ac:dyDescent="0.3">
      <c r="A47" t="s">
        <v>7</v>
      </c>
      <c r="B47">
        <v>175</v>
      </c>
      <c r="C47">
        <v>5</v>
      </c>
      <c r="D47">
        <v>21886</v>
      </c>
      <c r="E47">
        <f t="shared" si="9"/>
        <v>20881</v>
      </c>
      <c r="F47">
        <f t="shared" si="8"/>
        <v>21977</v>
      </c>
      <c r="G47">
        <f t="shared" si="8"/>
        <v>21522</v>
      </c>
      <c r="H47">
        <f t="shared" si="10"/>
        <v>-0.54229004829773564</v>
      </c>
    </row>
    <row r="48" spans="1:12" x14ac:dyDescent="0.3">
      <c r="A48" t="s">
        <v>7</v>
      </c>
      <c r="B48">
        <v>175</v>
      </c>
      <c r="C48">
        <v>6</v>
      </c>
      <c r="D48">
        <v>22200</v>
      </c>
      <c r="E48">
        <f t="shared" si="9"/>
        <v>21110</v>
      </c>
      <c r="F48">
        <f t="shared" si="8"/>
        <v>22336</v>
      </c>
      <c r="G48">
        <f t="shared" si="8"/>
        <v>21787</v>
      </c>
      <c r="H48">
        <f t="shared" si="10"/>
        <v>0.64959905142287855</v>
      </c>
    </row>
    <row r="49" spans="1:8" x14ac:dyDescent="0.3">
      <c r="A49" t="s">
        <v>7</v>
      </c>
      <c r="B49">
        <v>175</v>
      </c>
      <c r="C49">
        <v>7</v>
      </c>
      <c r="D49">
        <v>22387</v>
      </c>
      <c r="E49">
        <f t="shared" si="9"/>
        <v>21246</v>
      </c>
      <c r="F49">
        <f t="shared" si="8"/>
        <v>22550</v>
      </c>
      <c r="G49">
        <f t="shared" si="8"/>
        <v>21946</v>
      </c>
      <c r="H49">
        <f t="shared" si="10"/>
        <v>1.3594183560335626</v>
      </c>
    </row>
    <row r="50" spans="1:8" x14ac:dyDescent="0.3">
      <c r="A50" t="s">
        <v>7</v>
      </c>
      <c r="B50">
        <v>175</v>
      </c>
      <c r="C50">
        <v>8</v>
      </c>
      <c r="D50">
        <v>22073</v>
      </c>
      <c r="E50">
        <f t="shared" si="9"/>
        <v>21017</v>
      </c>
      <c r="F50">
        <f t="shared" si="8"/>
        <v>22191</v>
      </c>
      <c r="G50">
        <f t="shared" si="8"/>
        <v>21680</v>
      </c>
      <c r="H50">
        <f t="shared" si="10"/>
        <v>0.16752925631294857</v>
      </c>
    </row>
    <row r="51" spans="1:8" x14ac:dyDescent="0.3">
      <c r="A51" t="s">
        <v>7</v>
      </c>
      <c r="B51">
        <v>175</v>
      </c>
      <c r="C51">
        <v>9</v>
      </c>
      <c r="D51">
        <v>22167</v>
      </c>
      <c r="E51">
        <f t="shared" si="9"/>
        <v>21086</v>
      </c>
      <c r="F51">
        <f t="shared" si="8"/>
        <v>22298</v>
      </c>
      <c r="G51">
        <f t="shared" si="8"/>
        <v>21760</v>
      </c>
      <c r="H51">
        <f t="shared" si="10"/>
        <v>0.52433682119746361</v>
      </c>
    </row>
    <row r="52" spans="1:8" x14ac:dyDescent="0.3">
      <c r="A52" t="s">
        <v>7</v>
      </c>
      <c r="B52">
        <v>175</v>
      </c>
      <c r="C52">
        <v>10</v>
      </c>
      <c r="D52">
        <v>22458</v>
      </c>
      <c r="E52">
        <f t="shared" si="9"/>
        <v>21298</v>
      </c>
      <c r="F52">
        <f t="shared" si="8"/>
        <v>22631</v>
      </c>
      <c r="G52">
        <f t="shared" si="8"/>
        <v>22006</v>
      </c>
      <c r="H52">
        <f t="shared" si="10"/>
        <v>1.6289219422761219</v>
      </c>
    </row>
    <row r="53" spans="1:8" x14ac:dyDescent="0.3">
      <c r="A53" t="s">
        <v>7</v>
      </c>
      <c r="B53">
        <v>175</v>
      </c>
      <c r="C53">
        <v>11</v>
      </c>
      <c r="D53">
        <v>21928</v>
      </c>
      <c r="E53">
        <f t="shared" si="9"/>
        <v>20912</v>
      </c>
      <c r="F53">
        <f t="shared" si="8"/>
        <v>22025</v>
      </c>
      <c r="G53">
        <f t="shared" si="8"/>
        <v>21557</v>
      </c>
      <c r="H53">
        <f t="shared" si="10"/>
        <v>-0.38286539164720762</v>
      </c>
    </row>
    <row r="54" spans="1:8" x14ac:dyDescent="0.3">
      <c r="A54" t="s">
        <v>7</v>
      </c>
      <c r="B54">
        <v>175</v>
      </c>
      <c r="C54">
        <v>12</v>
      </c>
      <c r="D54">
        <v>22387</v>
      </c>
      <c r="E54">
        <f t="shared" si="9"/>
        <v>21246</v>
      </c>
      <c r="F54">
        <f t="shared" si="8"/>
        <v>22550</v>
      </c>
      <c r="G54">
        <f t="shared" si="8"/>
        <v>21946</v>
      </c>
      <c r="H54">
        <f t="shared" si="10"/>
        <v>1.3594183560335626</v>
      </c>
    </row>
    <row r="55" spans="1:8" x14ac:dyDescent="0.3">
      <c r="A55" t="s">
        <v>7</v>
      </c>
      <c r="B55">
        <v>175</v>
      </c>
      <c r="C55">
        <v>13</v>
      </c>
      <c r="D55">
        <v>22205</v>
      </c>
      <c r="E55">
        <f t="shared" si="9"/>
        <v>21113</v>
      </c>
      <c r="F55">
        <f t="shared" si="8"/>
        <v>22342</v>
      </c>
      <c r="G55">
        <f t="shared" si="8"/>
        <v>21792</v>
      </c>
      <c r="H55">
        <f t="shared" si="10"/>
        <v>0.66857817721460799</v>
      </c>
    </row>
    <row r="56" spans="1:8" x14ac:dyDescent="0.3">
      <c r="A56" t="s">
        <v>7</v>
      </c>
      <c r="B56">
        <v>175</v>
      </c>
      <c r="C56">
        <v>14</v>
      </c>
      <c r="D56">
        <v>21364</v>
      </c>
      <c r="E56">
        <f t="shared" si="9"/>
        <v>20500</v>
      </c>
      <c r="F56">
        <f t="shared" si="8"/>
        <v>21381</v>
      </c>
      <c r="G56">
        <f t="shared" si="8"/>
        <v>21080</v>
      </c>
      <c r="H56">
        <f t="shared" si="10"/>
        <v>-2.523710780954298</v>
      </c>
    </row>
    <row r="57" spans="1:8" x14ac:dyDescent="0.3">
      <c r="A57" t="s">
        <v>7</v>
      </c>
      <c r="B57">
        <v>175</v>
      </c>
      <c r="C57">
        <v>15</v>
      </c>
      <c r="D57">
        <v>21970</v>
      </c>
      <c r="E57">
        <f t="shared" si="9"/>
        <v>20942</v>
      </c>
      <c r="F57">
        <f t="shared" si="8"/>
        <v>22073</v>
      </c>
      <c r="G57">
        <f t="shared" si="8"/>
        <v>21593</v>
      </c>
      <c r="H57">
        <f t="shared" si="10"/>
        <v>-0.22344073499667963</v>
      </c>
    </row>
    <row r="58" spans="1:8" x14ac:dyDescent="0.3">
      <c r="A58" t="s">
        <v>7</v>
      </c>
      <c r="B58">
        <v>175</v>
      </c>
      <c r="C58">
        <v>16</v>
      </c>
      <c r="D58">
        <v>21642</v>
      </c>
      <c r="E58">
        <f t="shared" si="9"/>
        <v>20703</v>
      </c>
      <c r="F58">
        <f t="shared" ref="F58:F78" si="11">ROUND( $H58*K$43+K$42,0)</f>
        <v>21698</v>
      </c>
      <c r="G58">
        <f t="shared" ref="G58:G78" si="12">ROUND( $H58*L$43+L$42,0)</f>
        <v>21315</v>
      </c>
      <c r="H58">
        <f t="shared" si="10"/>
        <v>-1.4684713869341364</v>
      </c>
    </row>
    <row r="59" spans="1:8" x14ac:dyDescent="0.3">
      <c r="A59" t="s">
        <v>7</v>
      </c>
      <c r="B59">
        <v>175</v>
      </c>
      <c r="C59">
        <v>17</v>
      </c>
      <c r="D59">
        <v>21601</v>
      </c>
      <c r="E59">
        <f t="shared" si="9"/>
        <v>20673</v>
      </c>
      <c r="F59">
        <f t="shared" si="11"/>
        <v>21652</v>
      </c>
      <c r="G59">
        <f t="shared" si="12"/>
        <v>21280</v>
      </c>
      <c r="H59">
        <f t="shared" si="10"/>
        <v>-1.6241002184263185</v>
      </c>
    </row>
    <row r="60" spans="1:8" x14ac:dyDescent="0.3">
      <c r="A60" t="s">
        <v>7</v>
      </c>
      <c r="B60">
        <v>175</v>
      </c>
      <c r="C60">
        <v>18</v>
      </c>
      <c r="D60">
        <v>21873</v>
      </c>
      <c r="E60">
        <f t="shared" si="9"/>
        <v>20871</v>
      </c>
      <c r="F60">
        <f t="shared" si="11"/>
        <v>21962</v>
      </c>
      <c r="G60">
        <f t="shared" si="12"/>
        <v>21511</v>
      </c>
      <c r="H60">
        <f t="shared" si="10"/>
        <v>-0.59163577535623235</v>
      </c>
    </row>
    <row r="61" spans="1:8" x14ac:dyDescent="0.3">
      <c r="A61" t="s">
        <v>7</v>
      </c>
      <c r="B61">
        <v>175</v>
      </c>
      <c r="C61">
        <v>19</v>
      </c>
      <c r="D61">
        <v>22152</v>
      </c>
      <c r="E61">
        <f t="shared" si="9"/>
        <v>21075</v>
      </c>
      <c r="F61">
        <f t="shared" si="11"/>
        <v>22281</v>
      </c>
      <c r="G61">
        <f t="shared" si="12"/>
        <v>21747</v>
      </c>
      <c r="H61">
        <f t="shared" si="10"/>
        <v>0.46739944382227505</v>
      </c>
    </row>
    <row r="62" spans="1:8" x14ac:dyDescent="0.3">
      <c r="A62" t="s">
        <v>7</v>
      </c>
      <c r="B62">
        <v>175</v>
      </c>
      <c r="C62">
        <v>20</v>
      </c>
      <c r="D62">
        <v>21589</v>
      </c>
      <c r="E62">
        <f t="shared" si="9"/>
        <v>20664</v>
      </c>
      <c r="F62">
        <f t="shared" si="11"/>
        <v>21638</v>
      </c>
      <c r="G62">
        <f t="shared" si="12"/>
        <v>21270</v>
      </c>
      <c r="H62">
        <f t="shared" si="10"/>
        <v>-1.6696501203264693</v>
      </c>
    </row>
    <row r="63" spans="1:8" x14ac:dyDescent="0.3">
      <c r="A63" t="s">
        <v>7</v>
      </c>
      <c r="B63">
        <v>175</v>
      </c>
      <c r="C63">
        <v>21</v>
      </c>
      <c r="D63">
        <v>21825</v>
      </c>
      <c r="E63">
        <f t="shared" si="9"/>
        <v>20836</v>
      </c>
      <c r="F63">
        <f t="shared" si="11"/>
        <v>21907</v>
      </c>
      <c r="G63">
        <f t="shared" si="12"/>
        <v>21470</v>
      </c>
      <c r="H63">
        <f t="shared" si="10"/>
        <v>-0.77383538295683585</v>
      </c>
    </row>
    <row r="64" spans="1:8" x14ac:dyDescent="0.3">
      <c r="A64" t="s">
        <v>7</v>
      </c>
      <c r="B64">
        <v>175</v>
      </c>
      <c r="C64">
        <v>22</v>
      </c>
      <c r="D64">
        <v>21901</v>
      </c>
      <c r="E64">
        <f t="shared" si="9"/>
        <v>20892</v>
      </c>
      <c r="F64">
        <f t="shared" si="11"/>
        <v>21994</v>
      </c>
      <c r="G64">
        <f t="shared" si="12"/>
        <v>21534</v>
      </c>
      <c r="H64">
        <f t="shared" si="10"/>
        <v>-0.48535267092254708</v>
      </c>
    </row>
    <row r="65" spans="1:8" x14ac:dyDescent="0.3">
      <c r="A65" t="s">
        <v>7</v>
      </c>
      <c r="B65">
        <v>175</v>
      </c>
      <c r="C65">
        <v>23</v>
      </c>
      <c r="D65">
        <v>22169</v>
      </c>
      <c r="E65">
        <f t="shared" si="9"/>
        <v>21087</v>
      </c>
      <c r="F65">
        <f t="shared" si="11"/>
        <v>22301</v>
      </c>
      <c r="G65">
        <f t="shared" si="12"/>
        <v>21761</v>
      </c>
      <c r="H65">
        <f t="shared" si="10"/>
        <v>0.53192847151415545</v>
      </c>
    </row>
    <row r="66" spans="1:8" x14ac:dyDescent="0.3">
      <c r="A66" t="s">
        <v>7</v>
      </c>
      <c r="B66">
        <v>175</v>
      </c>
      <c r="C66">
        <v>24</v>
      </c>
      <c r="D66">
        <v>21779</v>
      </c>
      <c r="E66">
        <f t="shared" si="9"/>
        <v>20803</v>
      </c>
      <c r="F66">
        <f t="shared" si="11"/>
        <v>21855</v>
      </c>
      <c r="G66">
        <f t="shared" si="12"/>
        <v>21431</v>
      </c>
      <c r="H66">
        <f t="shared" si="10"/>
        <v>-0.9484433402407475</v>
      </c>
    </row>
    <row r="67" spans="1:8" x14ac:dyDescent="0.3">
      <c r="A67" t="s">
        <v>7</v>
      </c>
      <c r="B67">
        <v>175</v>
      </c>
      <c r="C67">
        <v>25</v>
      </c>
      <c r="D67">
        <v>21893</v>
      </c>
      <c r="E67">
        <f t="shared" si="9"/>
        <v>20886</v>
      </c>
      <c r="F67">
        <f t="shared" si="11"/>
        <v>21985</v>
      </c>
      <c r="G67">
        <f t="shared" si="12"/>
        <v>21528</v>
      </c>
      <c r="H67">
        <f t="shared" si="10"/>
        <v>-0.51571927218931435</v>
      </c>
    </row>
    <row r="68" spans="1:8" x14ac:dyDescent="0.3">
      <c r="A68" t="s">
        <v>7</v>
      </c>
      <c r="B68">
        <v>175</v>
      </c>
      <c r="C68">
        <v>26</v>
      </c>
      <c r="D68">
        <v>21983</v>
      </c>
      <c r="E68">
        <f t="shared" si="9"/>
        <v>20952</v>
      </c>
      <c r="F68">
        <f t="shared" si="11"/>
        <v>22088</v>
      </c>
      <c r="G68">
        <f t="shared" si="12"/>
        <v>21604</v>
      </c>
      <c r="H68">
        <f t="shared" si="10"/>
        <v>-0.17409500793818286</v>
      </c>
    </row>
    <row r="69" spans="1:8" x14ac:dyDescent="0.3">
      <c r="A69" t="s">
        <v>7</v>
      </c>
      <c r="B69">
        <v>175</v>
      </c>
      <c r="C69">
        <v>27</v>
      </c>
      <c r="D69">
        <v>22166</v>
      </c>
      <c r="E69">
        <f t="shared" si="9"/>
        <v>21085</v>
      </c>
      <c r="F69">
        <f t="shared" si="11"/>
        <v>22297</v>
      </c>
      <c r="G69">
        <f t="shared" si="12"/>
        <v>21759</v>
      </c>
      <c r="H69">
        <f t="shared" si="10"/>
        <v>0.52054099603911774</v>
      </c>
    </row>
    <row r="70" spans="1:8" x14ac:dyDescent="0.3">
      <c r="A70" t="s">
        <v>7</v>
      </c>
      <c r="B70">
        <v>175</v>
      </c>
      <c r="C70">
        <v>28</v>
      </c>
      <c r="D70">
        <v>22682</v>
      </c>
      <c r="E70">
        <f t="shared" si="9"/>
        <v>21461</v>
      </c>
      <c r="F70">
        <f t="shared" si="11"/>
        <v>22887</v>
      </c>
      <c r="G70">
        <f t="shared" si="12"/>
        <v>22195</v>
      </c>
      <c r="H70">
        <f t="shared" si="10"/>
        <v>2.4791867777456047</v>
      </c>
    </row>
    <row r="71" spans="1:8" x14ac:dyDescent="0.3">
      <c r="A71" t="s">
        <v>7</v>
      </c>
      <c r="B71">
        <v>175</v>
      </c>
      <c r="C71">
        <v>29</v>
      </c>
      <c r="D71">
        <v>21911</v>
      </c>
      <c r="E71">
        <f t="shared" si="9"/>
        <v>20899</v>
      </c>
      <c r="F71">
        <f t="shared" si="11"/>
        <v>22006</v>
      </c>
      <c r="G71">
        <f t="shared" si="12"/>
        <v>21543</v>
      </c>
      <c r="H71">
        <f t="shared" si="10"/>
        <v>-0.44739441933908802</v>
      </c>
    </row>
    <row r="72" spans="1:8" x14ac:dyDescent="0.3">
      <c r="A72" t="s">
        <v>7</v>
      </c>
      <c r="B72">
        <v>175</v>
      </c>
      <c r="C72">
        <v>30</v>
      </c>
      <c r="D72">
        <v>22200</v>
      </c>
      <c r="E72">
        <f t="shared" si="9"/>
        <v>21110</v>
      </c>
      <c r="F72">
        <f t="shared" si="11"/>
        <v>22336</v>
      </c>
      <c r="G72">
        <f t="shared" si="12"/>
        <v>21787</v>
      </c>
      <c r="H72">
        <f t="shared" si="10"/>
        <v>0.64959905142287855</v>
      </c>
    </row>
    <row r="73" spans="1:8" x14ac:dyDescent="0.3">
      <c r="A73" t="s">
        <v>7</v>
      </c>
      <c r="B73">
        <v>175</v>
      </c>
      <c r="C73">
        <v>31</v>
      </c>
      <c r="D73">
        <v>22143</v>
      </c>
      <c r="E73">
        <f t="shared" si="9"/>
        <v>21068</v>
      </c>
      <c r="F73">
        <f t="shared" si="11"/>
        <v>22271</v>
      </c>
      <c r="G73">
        <f t="shared" si="12"/>
        <v>21739</v>
      </c>
      <c r="H73">
        <f t="shared" si="10"/>
        <v>0.43323701739716192</v>
      </c>
    </row>
    <row r="74" spans="1:8" x14ac:dyDescent="0.3">
      <c r="A74" t="s">
        <v>7</v>
      </c>
      <c r="B74">
        <v>175</v>
      </c>
      <c r="C74">
        <v>32</v>
      </c>
      <c r="D74">
        <v>21968</v>
      </c>
      <c r="E74">
        <f t="shared" si="9"/>
        <v>20941</v>
      </c>
      <c r="F74">
        <f t="shared" si="11"/>
        <v>22071</v>
      </c>
      <c r="G74">
        <f t="shared" si="12"/>
        <v>21591</v>
      </c>
      <c r="H74">
        <f t="shared" si="10"/>
        <v>-0.23103238531337145</v>
      </c>
    </row>
    <row r="75" spans="1:8" x14ac:dyDescent="0.3">
      <c r="A75" t="s">
        <v>7</v>
      </c>
      <c r="B75">
        <v>175</v>
      </c>
      <c r="C75">
        <v>33</v>
      </c>
      <c r="D75">
        <v>21622</v>
      </c>
      <c r="E75">
        <f t="shared" si="9"/>
        <v>20688</v>
      </c>
      <c r="F75">
        <f t="shared" si="11"/>
        <v>21676</v>
      </c>
      <c r="G75">
        <f t="shared" si="12"/>
        <v>21298</v>
      </c>
      <c r="H75">
        <f t="shared" si="10"/>
        <v>-1.5443878901010546</v>
      </c>
    </row>
    <row r="76" spans="1:8" x14ac:dyDescent="0.3">
      <c r="A76" t="s">
        <v>7</v>
      </c>
      <c r="B76">
        <v>175</v>
      </c>
      <c r="C76">
        <v>34</v>
      </c>
      <c r="D76">
        <v>22146</v>
      </c>
      <c r="E76">
        <f t="shared" si="9"/>
        <v>21070</v>
      </c>
      <c r="F76">
        <f t="shared" si="11"/>
        <v>22274</v>
      </c>
      <c r="G76">
        <f t="shared" si="12"/>
        <v>21742</v>
      </c>
      <c r="H76">
        <f t="shared" si="10"/>
        <v>0.44462449287219963</v>
      </c>
    </row>
    <row r="77" spans="1:8" x14ac:dyDescent="0.3">
      <c r="A77" t="s">
        <v>7</v>
      </c>
      <c r="B77">
        <v>175</v>
      </c>
      <c r="C77">
        <v>34</v>
      </c>
      <c r="D77">
        <v>22094</v>
      </c>
      <c r="E77">
        <f t="shared" si="9"/>
        <v>21033</v>
      </c>
      <c r="F77">
        <f t="shared" si="11"/>
        <v>22215</v>
      </c>
      <c r="G77">
        <f t="shared" si="12"/>
        <v>21698</v>
      </c>
      <c r="H77">
        <f t="shared" si="10"/>
        <v>0.24724158463821258</v>
      </c>
    </row>
    <row r="78" spans="1:8" x14ac:dyDescent="0.3">
      <c r="A78" t="s">
        <v>7</v>
      </c>
      <c r="B78">
        <v>175</v>
      </c>
      <c r="C78">
        <v>34</v>
      </c>
      <c r="D78">
        <v>22094</v>
      </c>
      <c r="E78">
        <f t="shared" si="9"/>
        <v>21033</v>
      </c>
      <c r="F78">
        <f t="shared" si="11"/>
        <v>22215</v>
      </c>
      <c r="G78">
        <f t="shared" si="12"/>
        <v>21698</v>
      </c>
      <c r="H78">
        <f t="shared" si="10"/>
        <v>0.24724158463821258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res_multidro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2026-10-20T15:54:49Z</dcterms:created>
  <dcterms:modified xsi:type="dcterms:W3CDTF">2026-10-21T06:14:30Z</dcterms:modified>
</cp:coreProperties>
</file>