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it\GDOforecast\results\"/>
    </mc:Choice>
  </mc:AlternateContent>
  <xr:revisionPtr revIDLastSave="0" documentId="13_ncr:1_{0360E767-E1F9-4780-A3C7-F2A1AF9FD957}" xr6:coauthVersionLast="47" xr6:coauthVersionMax="47" xr10:uidLastSave="{00000000-0000-0000-0000-000000000000}"/>
  <bookViews>
    <workbookView xWindow="3105" yWindow="420" windowWidth="24360" windowHeight="14385" xr2:uid="{C9FFD5E3-00FD-495A-B5B0-4F4E6F374C6B}"/>
  </bookViews>
  <sheets>
    <sheet name="res_multid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5" i="1" l="1"/>
  <c r="M45" i="1"/>
  <c r="J45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42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H43" i="1"/>
  <c r="F43" i="1" s="1"/>
  <c r="H25" i="1"/>
  <c r="F25" i="1" s="1"/>
  <c r="H7" i="1"/>
  <c r="F7" i="1" s="1"/>
  <c r="E25" i="1" l="1"/>
  <c r="G25" i="1"/>
  <c r="G7" i="1"/>
  <c r="E7" i="1"/>
  <c r="E43" i="1"/>
  <c r="G43" i="1"/>
  <c r="H6" i="1"/>
  <c r="H24" i="1"/>
  <c r="H64" i="1"/>
  <c r="H5" i="1"/>
  <c r="H23" i="1"/>
  <c r="H63" i="1"/>
  <c r="H4" i="1"/>
  <c r="H22" i="1"/>
  <c r="H62" i="1"/>
  <c r="H3" i="1"/>
  <c r="H21" i="1"/>
  <c r="H61" i="1"/>
  <c r="H20" i="1"/>
  <c r="H60" i="1"/>
  <c r="H41" i="1"/>
  <c r="H19" i="1"/>
  <c r="H59" i="1"/>
  <c r="H40" i="1"/>
  <c r="H18" i="1"/>
  <c r="H58" i="1"/>
  <c r="H39" i="1"/>
  <c r="H57" i="1"/>
  <c r="H38" i="1"/>
  <c r="H78" i="1"/>
  <c r="H56" i="1"/>
  <c r="H37" i="1"/>
  <c r="H77" i="1"/>
  <c r="H55" i="1"/>
  <c r="H36" i="1"/>
  <c r="H76" i="1"/>
  <c r="H54" i="1"/>
  <c r="H2" i="1"/>
  <c r="H35" i="1"/>
  <c r="H75" i="1"/>
  <c r="H53" i="1"/>
  <c r="H16" i="1"/>
  <c r="H34" i="1"/>
  <c r="H74" i="1"/>
  <c r="H52" i="1"/>
  <c r="H15" i="1"/>
  <c r="H33" i="1"/>
  <c r="H73" i="1"/>
  <c r="H51" i="1"/>
  <c r="H14" i="1"/>
  <c r="H32" i="1"/>
  <c r="H72" i="1"/>
  <c r="H50" i="1"/>
  <c r="H13" i="1"/>
  <c r="H31" i="1"/>
  <c r="H71" i="1"/>
  <c r="H49" i="1"/>
  <c r="H12" i="1"/>
  <c r="H30" i="1"/>
  <c r="H70" i="1"/>
  <c r="H48" i="1"/>
  <c r="H11" i="1"/>
  <c r="H29" i="1"/>
  <c r="H69" i="1"/>
  <c r="H47" i="1"/>
  <c r="H10" i="1"/>
  <c r="H28" i="1"/>
  <c r="H68" i="1"/>
  <c r="H46" i="1"/>
  <c r="H9" i="1"/>
  <c r="H27" i="1"/>
  <c r="H67" i="1"/>
  <c r="H45" i="1"/>
  <c r="H8" i="1"/>
  <c r="H26" i="1"/>
  <c r="H66" i="1"/>
  <c r="H44" i="1"/>
  <c r="H65" i="1"/>
  <c r="F18" i="1" l="1"/>
  <c r="E18" i="1"/>
  <c r="G18" i="1"/>
  <c r="E40" i="1"/>
  <c r="F40" i="1"/>
  <c r="G40" i="1"/>
  <c r="F4" i="1"/>
  <c r="G4" i="1"/>
  <c r="E4" i="1"/>
  <c r="E27" i="1"/>
  <c r="G27" i="1"/>
  <c r="F27" i="1"/>
  <c r="F30" i="1"/>
  <c r="E30" i="1"/>
  <c r="G30" i="1"/>
  <c r="G33" i="1"/>
  <c r="E33" i="1"/>
  <c r="F33" i="1"/>
  <c r="F36" i="1"/>
  <c r="G36" i="1"/>
  <c r="E36" i="1"/>
  <c r="E9" i="1"/>
  <c r="G9" i="1"/>
  <c r="F9" i="1"/>
  <c r="G12" i="1"/>
  <c r="E12" i="1"/>
  <c r="F12" i="1"/>
  <c r="G15" i="1"/>
  <c r="F15" i="1"/>
  <c r="E15" i="1"/>
  <c r="E19" i="1"/>
  <c r="F19" i="1"/>
  <c r="G19" i="1"/>
  <c r="F23" i="1"/>
  <c r="G23" i="1"/>
  <c r="E23" i="1"/>
  <c r="E22" i="1"/>
  <c r="F22" i="1"/>
  <c r="G22" i="1"/>
  <c r="E31" i="1"/>
  <c r="F31" i="1"/>
  <c r="G31" i="1"/>
  <c r="E20" i="1"/>
  <c r="F20" i="1"/>
  <c r="G20" i="1"/>
  <c r="F24" i="1"/>
  <c r="G24" i="1"/>
  <c r="E24" i="1"/>
  <c r="F5" i="1"/>
  <c r="E5" i="1"/>
  <c r="G5" i="1"/>
  <c r="E28" i="1"/>
  <c r="F28" i="1"/>
  <c r="G28" i="1"/>
  <c r="G34" i="1"/>
  <c r="E34" i="1"/>
  <c r="F34" i="1"/>
  <c r="E10" i="1"/>
  <c r="F10" i="1"/>
  <c r="G10" i="1"/>
  <c r="F13" i="1"/>
  <c r="G13" i="1"/>
  <c r="E13" i="1"/>
  <c r="F16" i="1"/>
  <c r="G16" i="1"/>
  <c r="E16" i="1"/>
  <c r="G6" i="1"/>
  <c r="E6" i="1"/>
  <c r="F6" i="1"/>
  <c r="E8" i="1"/>
  <c r="F8" i="1"/>
  <c r="G8" i="1"/>
  <c r="F11" i="1"/>
  <c r="E11" i="1"/>
  <c r="G11" i="1"/>
  <c r="F14" i="1"/>
  <c r="G14" i="1"/>
  <c r="E14" i="1"/>
  <c r="F41" i="1"/>
  <c r="G41" i="1"/>
  <c r="E41" i="1"/>
  <c r="F37" i="1"/>
  <c r="G37" i="1"/>
  <c r="E37" i="1"/>
  <c r="F38" i="1"/>
  <c r="G38" i="1"/>
  <c r="E38" i="1"/>
  <c r="E21" i="1"/>
  <c r="F21" i="1"/>
  <c r="G21" i="1"/>
  <c r="F26" i="1"/>
  <c r="G26" i="1"/>
  <c r="E26" i="1"/>
  <c r="F29" i="1"/>
  <c r="G29" i="1"/>
  <c r="E29" i="1"/>
  <c r="E32" i="1"/>
  <c r="F32" i="1"/>
  <c r="G32" i="1"/>
  <c r="F35" i="1"/>
  <c r="G35" i="1"/>
  <c r="E35" i="1"/>
  <c r="E39" i="1"/>
  <c r="G39" i="1"/>
  <c r="F39" i="1"/>
  <c r="F3" i="1"/>
  <c r="G3" i="1"/>
  <c r="E3" i="1"/>
  <c r="F2" i="1"/>
  <c r="G2" i="1"/>
  <c r="E2" i="1"/>
  <c r="F45" i="1"/>
  <c r="G45" i="1"/>
  <c r="E45" i="1"/>
  <c r="E48" i="1"/>
  <c r="F48" i="1"/>
  <c r="G48" i="1"/>
  <c r="F51" i="1"/>
  <c r="G51" i="1"/>
  <c r="E51" i="1"/>
  <c r="F54" i="1"/>
  <c r="G54" i="1"/>
  <c r="E54" i="1"/>
  <c r="E58" i="1"/>
  <c r="F58" i="1"/>
  <c r="G58" i="1"/>
  <c r="G62" i="1"/>
  <c r="E62" i="1"/>
  <c r="F62" i="1"/>
  <c r="F67" i="1"/>
  <c r="E67" i="1"/>
  <c r="G67" i="1"/>
  <c r="E70" i="1"/>
  <c r="F70" i="1"/>
  <c r="G70" i="1"/>
  <c r="E73" i="1"/>
  <c r="F73" i="1"/>
  <c r="G73" i="1"/>
  <c r="F76" i="1"/>
  <c r="G76" i="1"/>
  <c r="E76" i="1"/>
  <c r="F49" i="1"/>
  <c r="E49" i="1"/>
  <c r="G49" i="1"/>
  <c r="G68" i="1"/>
  <c r="E68" i="1"/>
  <c r="F68" i="1"/>
  <c r="E71" i="1"/>
  <c r="F71" i="1"/>
  <c r="G71" i="1"/>
  <c r="G74" i="1"/>
  <c r="E74" i="1"/>
  <c r="F74" i="1"/>
  <c r="F55" i="1"/>
  <c r="G55" i="1"/>
  <c r="E55" i="1"/>
  <c r="E46" i="1"/>
  <c r="F46" i="1"/>
  <c r="G46" i="1"/>
  <c r="F52" i="1"/>
  <c r="G52" i="1"/>
  <c r="E52" i="1"/>
  <c r="F77" i="1"/>
  <c r="G77" i="1"/>
  <c r="E77" i="1"/>
  <c r="G56" i="1"/>
  <c r="E56" i="1"/>
  <c r="F56" i="1"/>
  <c r="E60" i="1"/>
  <c r="F60" i="1"/>
  <c r="G60" i="1"/>
  <c r="F64" i="1"/>
  <c r="G64" i="1"/>
  <c r="E64" i="1"/>
  <c r="F63" i="1"/>
  <c r="G63" i="1"/>
  <c r="E63" i="1"/>
  <c r="F65" i="1"/>
  <c r="G65" i="1"/>
  <c r="E65" i="1"/>
  <c r="F78" i="1"/>
  <c r="G78" i="1"/>
  <c r="E78" i="1"/>
  <c r="E59" i="1"/>
  <c r="F59" i="1"/>
  <c r="G59" i="1"/>
  <c r="G44" i="1"/>
  <c r="F44" i="1"/>
  <c r="E44" i="1"/>
  <c r="E47" i="1"/>
  <c r="F47" i="1"/>
  <c r="G47" i="1"/>
  <c r="G50" i="1"/>
  <c r="E50" i="1"/>
  <c r="F50" i="1"/>
  <c r="E53" i="1"/>
  <c r="F53" i="1"/>
  <c r="G53" i="1"/>
  <c r="E66" i="1"/>
  <c r="F66" i="1"/>
  <c r="G66" i="1"/>
  <c r="F69" i="1"/>
  <c r="G69" i="1"/>
  <c r="E69" i="1"/>
  <c r="F75" i="1"/>
  <c r="G75" i="1"/>
  <c r="E75" i="1"/>
  <c r="F57" i="1"/>
  <c r="G57" i="1"/>
  <c r="E57" i="1"/>
  <c r="E61" i="1"/>
  <c r="F61" i="1"/>
  <c r="G61" i="1"/>
  <c r="E72" i="1"/>
  <c r="F72" i="1"/>
  <c r="G72" i="1"/>
  <c r="H42" i="1" l="1"/>
  <c r="E42" i="1" s="1"/>
  <c r="K45" i="1" s="1"/>
  <c r="F42" i="1" l="1"/>
  <c r="G42" i="1"/>
  <c r="H17" i="1"/>
  <c r="E17" i="1" s="1"/>
  <c r="F17" i="1"/>
  <c r="G17" i="1" l="1"/>
</calcChain>
</file>

<file path=xl/sharedStrings.xml><?xml version="1.0" encoding="utf-8"?>
<sst xmlns="http://schemas.openxmlformats.org/spreadsheetml/2006/main" count="90" uniqueCount="10">
  <si>
    <t>Instance</t>
  </si>
  <si>
    <t>num.boost</t>
  </si>
  <si>
    <t>repet.</t>
  </si>
  <si>
    <t>SAA</t>
  </si>
  <si>
    <t>ETS-SAA</t>
  </si>
  <si>
    <t>DRO</t>
  </si>
  <si>
    <t>WEK</t>
  </si>
  <si>
    <t>inst_52_4_0_0</t>
  </si>
  <si>
    <t>zeta</t>
  </si>
  <si>
    <t>Zfix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</si>
</sst>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6DF6-3634-471C-8CDC-F38FCBC1D04C}">
  <dimension ref="A1:M78"/>
  <sheetViews>
    <sheetView tabSelected="1" workbookViewId="0">
      <pane ySplit="1" topLeftCell="A25" activePane="bottomLeft" state="frozen"/>
      <selection pane="bottomLeft" activeCell="K43" sqref="K43"/>
    </sheetView>
  </sheetViews>
  <sheetFormatPr defaultRowHeight="15.75"/>
  <cols>
    <col min="8" max="8" width="9" style="2"/>
    <col min="10" max="10" width="8.75" style="2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8</v>
      </c>
      <c r="I1" t="s">
        <v>9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7</v>
      </c>
      <c r="B2">
        <v>75</v>
      </c>
      <c r="C2">
        <v>0</v>
      </c>
      <c r="D2">
        <v>20487</v>
      </c>
      <c r="E2">
        <f>ROUND( $H2*K$3+K$2,0)</f>
        <v>19885</v>
      </c>
      <c r="F2">
        <f>ROUND( $H2*L$3+L$2,0)</f>
        <v>20492</v>
      </c>
      <c r="G2">
        <f>ROUND( $H2*M$3+M$2,0)</f>
        <v>20478</v>
      </c>
      <c r="H2" s="2">
        <f>(D2-J$2)/J$3</f>
        <v>-0.2490165143189591</v>
      </c>
      <c r="I2">
        <v>-0.2490165143189591</v>
      </c>
      <c r="J2" s="2">
        <v>20528.866666666665</v>
      </c>
      <c r="K2" s="2">
        <v>19918</v>
      </c>
      <c r="L2" s="2">
        <v>20535</v>
      </c>
      <c r="M2" s="2">
        <v>20515.933333333334</v>
      </c>
    </row>
    <row r="3" spans="1:13">
      <c r="A3" t="s">
        <v>7</v>
      </c>
      <c r="B3">
        <v>75</v>
      </c>
      <c r="C3">
        <v>1</v>
      </c>
      <c r="D3">
        <v>20455</v>
      </c>
      <c r="E3">
        <f t="shared" ref="E3:E16" si="0">ROUND( $H3*K$3+K$2,0)</f>
        <v>19860</v>
      </c>
      <c r="F3">
        <f t="shared" ref="F3:F16" si="1">ROUND( $H3*L$3+L$2,0)</f>
        <v>20459</v>
      </c>
      <c r="G3">
        <f t="shared" ref="G3:G16" si="2">ROUND( $H3*M$3+M$2,0)</f>
        <v>20449</v>
      </c>
      <c r="H3" s="2">
        <f t="shared" ref="H3:H16" si="3">(D3-J$2)/J$3</f>
        <v>-0.43934760806594192</v>
      </c>
      <c r="I3">
        <v>-0.43934760806594192</v>
      </c>
      <c r="J3" s="2">
        <v>168.12807287567679</v>
      </c>
      <c r="K3" s="2">
        <v>132.11812896041178</v>
      </c>
      <c r="L3" s="2">
        <v>173.9279544332461</v>
      </c>
      <c r="M3" s="2">
        <v>151.9295743282247</v>
      </c>
    </row>
    <row r="4" spans="1:13">
      <c r="A4" t="s">
        <v>7</v>
      </c>
      <c r="B4">
        <v>75</v>
      </c>
      <c r="C4">
        <v>2</v>
      </c>
      <c r="D4">
        <v>20766</v>
      </c>
      <c r="E4">
        <f t="shared" si="0"/>
        <v>20104</v>
      </c>
      <c r="F4">
        <f t="shared" si="1"/>
        <v>20780</v>
      </c>
      <c r="G4">
        <f t="shared" si="2"/>
        <v>20730</v>
      </c>
      <c r="H4" s="2">
        <f t="shared" si="3"/>
        <v>1.4104327092875475</v>
      </c>
      <c r="I4">
        <v>1.4104327092875475</v>
      </c>
    </row>
    <row r="5" spans="1:13">
      <c r="A5" t="s">
        <v>7</v>
      </c>
      <c r="B5">
        <v>75</v>
      </c>
      <c r="C5">
        <v>3</v>
      </c>
      <c r="D5">
        <v>20595</v>
      </c>
      <c r="E5">
        <f t="shared" si="0"/>
        <v>19970</v>
      </c>
      <c r="F5">
        <f t="shared" si="1"/>
        <v>20603</v>
      </c>
      <c r="G5">
        <f t="shared" si="2"/>
        <v>20576</v>
      </c>
      <c r="H5" s="2">
        <f t="shared" si="3"/>
        <v>0.39335092707710795</v>
      </c>
      <c r="I5">
        <v>0.39335092707710795</v>
      </c>
    </row>
    <row r="6" spans="1:13">
      <c r="A6" t="s">
        <v>7</v>
      </c>
      <c r="B6">
        <v>75</v>
      </c>
      <c r="C6">
        <v>4</v>
      </c>
      <c r="D6">
        <v>20381</v>
      </c>
      <c r="E6">
        <f t="shared" si="0"/>
        <v>19802</v>
      </c>
      <c r="F6">
        <f t="shared" si="1"/>
        <v>20382</v>
      </c>
      <c r="G6">
        <f t="shared" si="2"/>
        <v>20382</v>
      </c>
      <c r="H6" s="2">
        <f t="shared" si="3"/>
        <v>-0.87948826235583966</v>
      </c>
      <c r="I6">
        <v>-0.87948826235583966</v>
      </c>
    </row>
    <row r="7" spans="1:13">
      <c r="A7" t="s">
        <v>7</v>
      </c>
      <c r="B7">
        <v>75</v>
      </c>
      <c r="C7">
        <v>5</v>
      </c>
      <c r="D7">
        <v>20767</v>
      </c>
      <c r="E7">
        <f t="shared" si="0"/>
        <v>20105</v>
      </c>
      <c r="F7">
        <f t="shared" si="1"/>
        <v>20781</v>
      </c>
      <c r="G7">
        <f t="shared" si="2"/>
        <v>20731</v>
      </c>
      <c r="H7" s="2">
        <f t="shared" si="3"/>
        <v>1.4163805559671405</v>
      </c>
      <c r="I7">
        <v>1.4163805559671405</v>
      </c>
    </row>
    <row r="8" spans="1:13">
      <c r="A8" t="s">
        <v>7</v>
      </c>
      <c r="B8">
        <v>75</v>
      </c>
      <c r="C8">
        <v>6</v>
      </c>
      <c r="D8">
        <v>20383</v>
      </c>
      <c r="E8">
        <f t="shared" si="0"/>
        <v>19803</v>
      </c>
      <c r="F8">
        <f t="shared" si="1"/>
        <v>20384</v>
      </c>
      <c r="G8">
        <f t="shared" si="2"/>
        <v>20384</v>
      </c>
      <c r="H8" s="2">
        <f t="shared" si="3"/>
        <v>-0.86759256899665327</v>
      </c>
      <c r="I8">
        <v>-0.86759256899665327</v>
      </c>
    </row>
    <row r="9" spans="1:13">
      <c r="A9" t="s">
        <v>7</v>
      </c>
      <c r="B9">
        <v>75</v>
      </c>
      <c r="C9">
        <v>7</v>
      </c>
      <c r="D9">
        <v>20576</v>
      </c>
      <c r="E9">
        <f t="shared" si="0"/>
        <v>19955</v>
      </c>
      <c r="F9">
        <f t="shared" si="1"/>
        <v>20584</v>
      </c>
      <c r="G9">
        <f t="shared" si="2"/>
        <v>20559</v>
      </c>
      <c r="H9" s="2">
        <f t="shared" si="3"/>
        <v>0.28034184016483688</v>
      </c>
      <c r="I9">
        <v>0.28034184016483688</v>
      </c>
    </row>
    <row r="10" spans="1:13">
      <c r="A10" t="s">
        <v>7</v>
      </c>
      <c r="B10">
        <v>75</v>
      </c>
      <c r="C10">
        <v>8</v>
      </c>
      <c r="D10">
        <v>20834</v>
      </c>
      <c r="E10">
        <f t="shared" si="0"/>
        <v>20158</v>
      </c>
      <c r="F10">
        <f t="shared" si="1"/>
        <v>20851</v>
      </c>
      <c r="G10">
        <f t="shared" si="2"/>
        <v>20792</v>
      </c>
      <c r="H10" s="2">
        <f t="shared" si="3"/>
        <v>1.814886283499886</v>
      </c>
      <c r="I10">
        <v>1.814886283499886</v>
      </c>
    </row>
    <row r="11" spans="1:13">
      <c r="A11" t="s">
        <v>7</v>
      </c>
      <c r="B11">
        <v>75</v>
      </c>
      <c r="C11">
        <v>9</v>
      </c>
      <c r="D11">
        <v>20466</v>
      </c>
      <c r="E11">
        <f t="shared" si="0"/>
        <v>19869</v>
      </c>
      <c r="F11">
        <f t="shared" si="1"/>
        <v>20470</v>
      </c>
      <c r="G11">
        <f t="shared" si="2"/>
        <v>20459</v>
      </c>
      <c r="H11" s="2">
        <f t="shared" si="3"/>
        <v>-0.37392129459041656</v>
      </c>
      <c r="I11">
        <v>-0.37392129459041656</v>
      </c>
    </row>
    <row r="12" spans="1:13">
      <c r="A12" t="s">
        <v>7</v>
      </c>
      <c r="B12">
        <v>75</v>
      </c>
      <c r="C12">
        <v>10</v>
      </c>
      <c r="D12">
        <v>20393</v>
      </c>
      <c r="E12">
        <f t="shared" si="0"/>
        <v>19811</v>
      </c>
      <c r="F12">
        <f t="shared" si="1"/>
        <v>20394</v>
      </c>
      <c r="G12">
        <f t="shared" si="2"/>
        <v>20393</v>
      </c>
      <c r="H12" s="2">
        <f t="shared" si="3"/>
        <v>-0.80811410220072111</v>
      </c>
      <c r="I12">
        <v>-0.80811410220072111</v>
      </c>
    </row>
    <row r="13" spans="1:13">
      <c r="A13" t="s">
        <v>7</v>
      </c>
      <c r="B13">
        <v>75</v>
      </c>
      <c r="C13">
        <v>11</v>
      </c>
      <c r="D13">
        <v>20580</v>
      </c>
      <c r="E13">
        <f t="shared" si="0"/>
        <v>19958</v>
      </c>
      <c r="F13">
        <f t="shared" si="1"/>
        <v>20588</v>
      </c>
      <c r="G13">
        <f t="shared" si="2"/>
        <v>20562</v>
      </c>
      <c r="H13" s="2">
        <f t="shared" si="3"/>
        <v>0.30413322688320976</v>
      </c>
      <c r="I13">
        <v>0.30413322688320976</v>
      </c>
    </row>
    <row r="14" spans="1:13">
      <c r="A14" t="s">
        <v>7</v>
      </c>
      <c r="B14">
        <v>75</v>
      </c>
      <c r="C14">
        <v>12</v>
      </c>
      <c r="D14">
        <v>20231</v>
      </c>
      <c r="E14">
        <f t="shared" si="0"/>
        <v>19684</v>
      </c>
      <c r="F14">
        <f t="shared" si="1"/>
        <v>20227</v>
      </c>
      <c r="G14">
        <f t="shared" si="2"/>
        <v>20247</v>
      </c>
      <c r="H14" s="2">
        <f t="shared" si="3"/>
        <v>-1.7716652642948216</v>
      </c>
      <c r="I14">
        <v>-1.7716652642948216</v>
      </c>
    </row>
    <row r="15" spans="1:13">
      <c r="A15" t="s">
        <v>7</v>
      </c>
      <c r="B15">
        <v>75</v>
      </c>
      <c r="C15">
        <v>13</v>
      </c>
      <c r="D15">
        <v>20662</v>
      </c>
      <c r="E15">
        <f t="shared" si="0"/>
        <v>20023</v>
      </c>
      <c r="F15">
        <f t="shared" si="1"/>
        <v>20673</v>
      </c>
      <c r="G15">
        <f t="shared" si="2"/>
        <v>20636</v>
      </c>
      <c r="H15" s="2">
        <f t="shared" si="3"/>
        <v>0.79185665460985322</v>
      </c>
      <c r="I15">
        <v>0.79185665460985322</v>
      </c>
    </row>
    <row r="16" spans="1:13" s="1" customFormat="1">
      <c r="A16" s="1" t="s">
        <v>7</v>
      </c>
      <c r="B16" s="1">
        <v>75</v>
      </c>
      <c r="C16" s="1">
        <v>14</v>
      </c>
      <c r="D16" s="1">
        <v>20357</v>
      </c>
      <c r="E16">
        <f t="shared" si="0"/>
        <v>19783</v>
      </c>
      <c r="F16">
        <f t="shared" si="1"/>
        <v>20357</v>
      </c>
      <c r="G16">
        <f t="shared" si="2"/>
        <v>20361</v>
      </c>
      <c r="H16" s="2">
        <f t="shared" si="3"/>
        <v>-1.0222365826660769</v>
      </c>
      <c r="I16">
        <v>-1.0222365826660769</v>
      </c>
      <c r="J16" s="3"/>
    </row>
    <row r="17" spans="1:13">
      <c r="A17" t="s">
        <v>7</v>
      </c>
      <c r="B17">
        <v>125</v>
      </c>
      <c r="C17">
        <v>0</v>
      </c>
      <c r="D17">
        <f>ROUND( $I17*J$18+J$17,0)</f>
        <v>20414</v>
      </c>
      <c r="E17">
        <f>ROUND( $H17*K$18+K$17,0)</f>
        <v>20119</v>
      </c>
      <c r="F17">
        <f>ROUND( $H17*L$18+L$17,0)</f>
        <v>20529</v>
      </c>
      <c r="G17">
        <f>ROUND( $H17*M$18+M$17,0)</f>
        <v>20425</v>
      </c>
      <c r="H17" s="2">
        <f>(D17-J$17)/J$18</f>
        <v>-0.73835535955742937</v>
      </c>
      <c r="I17">
        <v>-0.73835535955742937</v>
      </c>
      <c r="J17" s="2">
        <v>20555.36</v>
      </c>
      <c r="K17" s="2">
        <v>20234</v>
      </c>
      <c r="L17" s="2">
        <v>20677.919999999998</v>
      </c>
      <c r="M17" s="2">
        <v>20560.080000000002</v>
      </c>
    </row>
    <row r="18" spans="1:13">
      <c r="A18" t="s">
        <v>7</v>
      </c>
      <c r="B18">
        <v>125</v>
      </c>
      <c r="C18">
        <v>1</v>
      </c>
      <c r="D18">
        <f t="shared" ref="D18:D41" si="4">ROUND( $I18*J$18+J$17,0)</f>
        <v>20624</v>
      </c>
      <c r="E18">
        <f t="shared" ref="E18:E41" si="5">ROUND( $H18*K$18+K$17,0)</f>
        <v>20290</v>
      </c>
      <c r="F18">
        <f t="shared" ref="F18:F32" si="6">ROUND( $H18*L$18+L$17,0)</f>
        <v>20750</v>
      </c>
      <c r="G18">
        <f t="shared" ref="G18:G32" si="7">ROUND( $H18*M$18+M$17,0)</f>
        <v>20626</v>
      </c>
      <c r="H18" s="2">
        <f t="shared" ref="H18:H41" si="8">(D18-J$17)/J$18</f>
        <v>0.35852229683093739</v>
      </c>
      <c r="I18">
        <v>0.35852229683093739</v>
      </c>
      <c r="J18" s="2">
        <v>191.45252779736285</v>
      </c>
      <c r="K18" s="2">
        <v>156.05665637838072</v>
      </c>
      <c r="L18" s="2">
        <v>202.02037917002335</v>
      </c>
      <c r="M18" s="2">
        <v>183.01255038931075</v>
      </c>
    </row>
    <row r="19" spans="1:13">
      <c r="A19" t="s">
        <v>7</v>
      </c>
      <c r="B19">
        <v>125</v>
      </c>
      <c r="C19">
        <v>2</v>
      </c>
      <c r="D19">
        <f t="shared" si="4"/>
        <v>20716</v>
      </c>
      <c r="E19">
        <f t="shared" si="5"/>
        <v>20365</v>
      </c>
      <c r="F19">
        <f t="shared" si="6"/>
        <v>20847</v>
      </c>
      <c r="G19">
        <f t="shared" si="7"/>
        <v>20714</v>
      </c>
      <c r="H19" s="2">
        <f t="shared" si="8"/>
        <v>0.83905917486774573</v>
      </c>
      <c r="I19">
        <v>0.83905917486774573</v>
      </c>
    </row>
    <row r="20" spans="1:13">
      <c r="A20" t="s">
        <v>7</v>
      </c>
      <c r="B20">
        <v>125</v>
      </c>
      <c r="C20">
        <v>3</v>
      </c>
      <c r="D20">
        <f t="shared" si="4"/>
        <v>20304</v>
      </c>
      <c r="E20">
        <f t="shared" si="5"/>
        <v>20029</v>
      </c>
      <c r="F20">
        <f t="shared" si="6"/>
        <v>20413</v>
      </c>
      <c r="G20">
        <f t="shared" si="7"/>
        <v>20320</v>
      </c>
      <c r="H20" s="2">
        <f t="shared" si="8"/>
        <v>-1.3129103224275263</v>
      </c>
      <c r="I20">
        <v>-1.3129103224275263</v>
      </c>
    </row>
    <row r="21" spans="1:13">
      <c r="A21" t="s">
        <v>7</v>
      </c>
      <c r="B21">
        <v>125</v>
      </c>
      <c r="C21">
        <v>4</v>
      </c>
      <c r="D21">
        <f t="shared" si="4"/>
        <v>20471</v>
      </c>
      <c r="E21">
        <f t="shared" si="5"/>
        <v>20165</v>
      </c>
      <c r="F21">
        <f t="shared" si="6"/>
        <v>20589</v>
      </c>
      <c r="G21">
        <f t="shared" si="7"/>
        <v>20479</v>
      </c>
      <c r="H21" s="2">
        <f t="shared" si="8"/>
        <v>-0.44063142425201551</v>
      </c>
      <c r="I21">
        <v>-0.44063142425201551</v>
      </c>
    </row>
    <row r="22" spans="1:13">
      <c r="A22" t="s">
        <v>7</v>
      </c>
      <c r="B22">
        <v>125</v>
      </c>
      <c r="C22">
        <v>5</v>
      </c>
      <c r="D22">
        <f t="shared" si="4"/>
        <v>20814</v>
      </c>
      <c r="E22">
        <f t="shared" si="5"/>
        <v>20445</v>
      </c>
      <c r="F22">
        <f t="shared" si="6"/>
        <v>20951</v>
      </c>
      <c r="G22">
        <f t="shared" si="7"/>
        <v>20807</v>
      </c>
      <c r="H22" s="2">
        <f t="shared" si="8"/>
        <v>1.3509354145156502</v>
      </c>
      <c r="I22">
        <v>1.3509354145156502</v>
      </c>
    </row>
    <row r="23" spans="1:13">
      <c r="A23" t="s">
        <v>7</v>
      </c>
      <c r="B23">
        <v>125</v>
      </c>
      <c r="C23">
        <v>6</v>
      </c>
      <c r="D23">
        <f t="shared" si="4"/>
        <v>20262</v>
      </c>
      <c r="E23">
        <f t="shared" si="5"/>
        <v>19995</v>
      </c>
      <c r="F23">
        <f t="shared" si="6"/>
        <v>20368</v>
      </c>
      <c r="G23">
        <f t="shared" si="7"/>
        <v>20280</v>
      </c>
      <c r="H23" s="2">
        <f t="shared" si="8"/>
        <v>-1.5322858537051995</v>
      </c>
      <c r="I23">
        <v>-1.5322858537051995</v>
      </c>
    </row>
    <row r="24" spans="1:13">
      <c r="A24" t="s">
        <v>7</v>
      </c>
      <c r="B24">
        <v>125</v>
      </c>
      <c r="C24">
        <v>7</v>
      </c>
      <c r="D24">
        <f t="shared" si="4"/>
        <v>20717</v>
      </c>
      <c r="E24">
        <f t="shared" si="5"/>
        <v>20366</v>
      </c>
      <c r="F24">
        <f t="shared" si="6"/>
        <v>20848</v>
      </c>
      <c r="G24">
        <f t="shared" si="7"/>
        <v>20715</v>
      </c>
      <c r="H24" s="2">
        <f t="shared" si="8"/>
        <v>0.84428240180292835</v>
      </c>
      <c r="I24">
        <v>0.84428240180292835</v>
      </c>
    </row>
    <row r="25" spans="1:13">
      <c r="A25" t="s">
        <v>7</v>
      </c>
      <c r="B25">
        <v>125</v>
      </c>
      <c r="C25">
        <v>8</v>
      </c>
      <c r="D25">
        <f t="shared" si="4"/>
        <v>21006</v>
      </c>
      <c r="E25">
        <f t="shared" si="5"/>
        <v>20601</v>
      </c>
      <c r="F25">
        <f t="shared" si="6"/>
        <v>21153</v>
      </c>
      <c r="G25">
        <f t="shared" si="7"/>
        <v>20991</v>
      </c>
      <c r="H25" s="2">
        <f t="shared" si="8"/>
        <v>2.3537949860707283</v>
      </c>
      <c r="I25">
        <v>2.3537949860707283</v>
      </c>
    </row>
    <row r="26" spans="1:13">
      <c r="A26" t="s">
        <v>7</v>
      </c>
      <c r="B26">
        <v>125</v>
      </c>
      <c r="C26">
        <v>9</v>
      </c>
      <c r="D26">
        <f t="shared" si="4"/>
        <v>20755</v>
      </c>
      <c r="E26">
        <f t="shared" si="5"/>
        <v>20397</v>
      </c>
      <c r="F26">
        <f t="shared" si="6"/>
        <v>20889</v>
      </c>
      <c r="G26">
        <f t="shared" si="7"/>
        <v>20751</v>
      </c>
      <c r="H26" s="2">
        <f t="shared" si="8"/>
        <v>1.042765025339871</v>
      </c>
      <c r="I26">
        <v>1.042765025339871</v>
      </c>
    </row>
    <row r="27" spans="1:13">
      <c r="A27" t="s">
        <v>7</v>
      </c>
      <c r="B27">
        <v>125</v>
      </c>
      <c r="C27">
        <v>10</v>
      </c>
      <c r="D27">
        <f t="shared" si="4"/>
        <v>20459</v>
      </c>
      <c r="E27">
        <f t="shared" si="5"/>
        <v>20155</v>
      </c>
      <c r="F27">
        <f t="shared" si="6"/>
        <v>20576</v>
      </c>
      <c r="G27">
        <f t="shared" si="7"/>
        <v>20468</v>
      </c>
      <c r="H27" s="2">
        <f t="shared" si="8"/>
        <v>-0.50331014747420788</v>
      </c>
      <c r="I27">
        <v>-0.50331014747420788</v>
      </c>
    </row>
    <row r="28" spans="1:13">
      <c r="A28" t="s">
        <v>7</v>
      </c>
      <c r="B28">
        <v>125</v>
      </c>
      <c r="C28">
        <v>11</v>
      </c>
      <c r="D28">
        <f t="shared" si="4"/>
        <v>20549</v>
      </c>
      <c r="E28">
        <f t="shared" si="5"/>
        <v>20229</v>
      </c>
      <c r="F28">
        <f t="shared" si="6"/>
        <v>20671</v>
      </c>
      <c r="G28">
        <f t="shared" si="7"/>
        <v>20554</v>
      </c>
      <c r="H28" s="2">
        <f t="shared" si="8"/>
        <v>-3.3219723307765008E-2</v>
      </c>
      <c r="I28">
        <v>-3.3219723307765008E-2</v>
      </c>
    </row>
    <row r="29" spans="1:13">
      <c r="A29" t="s">
        <v>7</v>
      </c>
      <c r="B29">
        <v>125</v>
      </c>
      <c r="C29">
        <v>12</v>
      </c>
      <c r="D29">
        <f t="shared" si="4"/>
        <v>20557</v>
      </c>
      <c r="E29">
        <f t="shared" si="5"/>
        <v>20235</v>
      </c>
      <c r="F29">
        <f t="shared" si="6"/>
        <v>20680</v>
      </c>
      <c r="G29">
        <f t="shared" si="7"/>
        <v>20562</v>
      </c>
      <c r="H29" s="2">
        <f t="shared" si="8"/>
        <v>8.5660921736965857E-3</v>
      </c>
      <c r="I29">
        <v>8.5660921736965857E-3</v>
      </c>
    </row>
    <row r="30" spans="1:13">
      <c r="A30" t="s">
        <v>7</v>
      </c>
      <c r="B30">
        <v>125</v>
      </c>
      <c r="C30">
        <v>13</v>
      </c>
      <c r="D30">
        <f t="shared" si="4"/>
        <v>20738</v>
      </c>
      <c r="E30">
        <f t="shared" si="5"/>
        <v>20383</v>
      </c>
      <c r="F30">
        <f t="shared" si="6"/>
        <v>20871</v>
      </c>
      <c r="G30">
        <f t="shared" si="7"/>
        <v>20735</v>
      </c>
      <c r="H30" s="2">
        <f t="shared" si="8"/>
        <v>0.9539701674417651</v>
      </c>
      <c r="I30">
        <v>0.9539701674417651</v>
      </c>
    </row>
    <row r="31" spans="1:13">
      <c r="A31" t="s">
        <v>7</v>
      </c>
      <c r="B31">
        <v>125</v>
      </c>
      <c r="C31">
        <v>14</v>
      </c>
      <c r="D31">
        <f t="shared" si="4"/>
        <v>20632</v>
      </c>
      <c r="E31">
        <f t="shared" si="5"/>
        <v>20296</v>
      </c>
      <c r="F31">
        <f t="shared" si="6"/>
        <v>20759</v>
      </c>
      <c r="G31">
        <f t="shared" si="7"/>
        <v>20633</v>
      </c>
      <c r="H31" s="2">
        <f t="shared" si="8"/>
        <v>0.40030811231239899</v>
      </c>
      <c r="I31">
        <v>0.40030811231239899</v>
      </c>
    </row>
    <row r="32" spans="1:13">
      <c r="A32" t="s">
        <v>7</v>
      </c>
      <c r="B32">
        <v>125</v>
      </c>
      <c r="C32">
        <v>15</v>
      </c>
      <c r="D32">
        <f t="shared" si="4"/>
        <v>20586</v>
      </c>
      <c r="E32">
        <f t="shared" si="5"/>
        <v>20259</v>
      </c>
      <c r="F32">
        <f t="shared" si="6"/>
        <v>20710</v>
      </c>
      <c r="G32">
        <f t="shared" si="7"/>
        <v>20589</v>
      </c>
      <c r="H32" s="2">
        <f t="shared" si="8"/>
        <v>0.16003967329399485</v>
      </c>
      <c r="I32">
        <v>0.16003967329399485</v>
      </c>
    </row>
    <row r="33" spans="1:13">
      <c r="A33" t="s">
        <v>7</v>
      </c>
      <c r="B33">
        <v>125</v>
      </c>
      <c r="C33">
        <v>16</v>
      </c>
      <c r="D33">
        <f t="shared" si="4"/>
        <v>20330</v>
      </c>
      <c r="E33">
        <f t="shared" si="5"/>
        <v>20050</v>
      </c>
      <c r="F33">
        <f t="shared" ref="F33:F41" si="9">ROUND( $H33*L$18+L$17,0)</f>
        <v>20440</v>
      </c>
      <c r="G33">
        <f t="shared" ref="G33:G41" si="10">ROUND( $H33*M$18+M$17,0)</f>
        <v>20345</v>
      </c>
      <c r="H33" s="2">
        <f t="shared" si="8"/>
        <v>-1.1771064221127761</v>
      </c>
      <c r="I33">
        <v>-1.1771064221127761</v>
      </c>
    </row>
    <row r="34" spans="1:13">
      <c r="A34" t="s">
        <v>7</v>
      </c>
      <c r="B34">
        <v>125</v>
      </c>
      <c r="C34">
        <v>17</v>
      </c>
      <c r="D34">
        <f t="shared" si="4"/>
        <v>20370</v>
      </c>
      <c r="E34">
        <f t="shared" si="5"/>
        <v>20083</v>
      </c>
      <c r="F34">
        <f t="shared" si="9"/>
        <v>20482</v>
      </c>
      <c r="G34">
        <f t="shared" si="10"/>
        <v>20383</v>
      </c>
      <c r="H34" s="2">
        <f t="shared" si="8"/>
        <v>-0.96817734470546812</v>
      </c>
      <c r="I34">
        <v>-0.96817734470546812</v>
      </c>
    </row>
    <row r="35" spans="1:13">
      <c r="A35" t="s">
        <v>7</v>
      </c>
      <c r="B35">
        <v>125</v>
      </c>
      <c r="C35">
        <v>18</v>
      </c>
      <c r="D35">
        <f t="shared" si="4"/>
        <v>20453</v>
      </c>
      <c r="E35">
        <f t="shared" si="5"/>
        <v>20151</v>
      </c>
      <c r="F35">
        <f t="shared" si="9"/>
        <v>20570</v>
      </c>
      <c r="G35">
        <f t="shared" si="10"/>
        <v>20462</v>
      </c>
      <c r="H35" s="2">
        <f t="shared" si="8"/>
        <v>-0.53464950908530406</v>
      </c>
      <c r="I35">
        <v>-0.53464950908530406</v>
      </c>
    </row>
    <row r="36" spans="1:13">
      <c r="A36" t="s">
        <v>7</v>
      </c>
      <c r="B36">
        <v>125</v>
      </c>
      <c r="C36">
        <v>19</v>
      </c>
      <c r="D36">
        <f t="shared" si="4"/>
        <v>20364</v>
      </c>
      <c r="E36">
        <f t="shared" si="5"/>
        <v>20078</v>
      </c>
      <c r="F36">
        <f t="shared" si="9"/>
        <v>20476</v>
      </c>
      <c r="G36">
        <f t="shared" si="10"/>
        <v>20377</v>
      </c>
      <c r="H36" s="2">
        <f t="shared" si="8"/>
        <v>-0.99951670631656431</v>
      </c>
      <c r="I36">
        <v>-0.99951670631656431</v>
      </c>
    </row>
    <row r="37" spans="1:13">
      <c r="A37" t="s">
        <v>7</v>
      </c>
      <c r="B37">
        <v>125</v>
      </c>
      <c r="C37">
        <v>20</v>
      </c>
      <c r="D37">
        <f t="shared" si="4"/>
        <v>20744</v>
      </c>
      <c r="E37">
        <f t="shared" si="5"/>
        <v>20388</v>
      </c>
      <c r="F37">
        <f t="shared" si="9"/>
        <v>20877</v>
      </c>
      <c r="G37">
        <f t="shared" si="10"/>
        <v>20740</v>
      </c>
      <c r="H37" s="2">
        <f t="shared" si="8"/>
        <v>0.98530952905286129</v>
      </c>
      <c r="I37">
        <v>0.98530952905286129</v>
      </c>
    </row>
    <row r="38" spans="1:13">
      <c r="A38" t="s">
        <v>7</v>
      </c>
      <c r="B38">
        <v>125</v>
      </c>
      <c r="C38">
        <v>21</v>
      </c>
      <c r="D38">
        <f t="shared" si="4"/>
        <v>20708</v>
      </c>
      <c r="E38">
        <f t="shared" si="5"/>
        <v>20358</v>
      </c>
      <c r="F38">
        <f t="shared" si="9"/>
        <v>20839</v>
      </c>
      <c r="G38">
        <f t="shared" si="10"/>
        <v>20706</v>
      </c>
      <c r="H38" s="2">
        <f t="shared" si="8"/>
        <v>0.79727335938628408</v>
      </c>
      <c r="I38">
        <v>0.79727335938628408</v>
      </c>
    </row>
    <row r="39" spans="1:13">
      <c r="A39" t="s">
        <v>7</v>
      </c>
      <c r="B39">
        <v>125</v>
      </c>
      <c r="C39">
        <v>22</v>
      </c>
      <c r="D39">
        <f t="shared" si="4"/>
        <v>20679</v>
      </c>
      <c r="E39">
        <f t="shared" si="5"/>
        <v>20335</v>
      </c>
      <c r="F39">
        <f t="shared" si="9"/>
        <v>20808</v>
      </c>
      <c r="G39">
        <f t="shared" si="10"/>
        <v>20678</v>
      </c>
      <c r="H39" s="2">
        <f t="shared" si="8"/>
        <v>0.64579977826598589</v>
      </c>
      <c r="I39">
        <v>0.64579977826598589</v>
      </c>
    </row>
    <row r="40" spans="1:13">
      <c r="A40" t="s">
        <v>7</v>
      </c>
      <c r="B40">
        <v>125</v>
      </c>
      <c r="C40">
        <v>23</v>
      </c>
      <c r="D40">
        <f t="shared" si="4"/>
        <v>20277</v>
      </c>
      <c r="E40">
        <f t="shared" si="5"/>
        <v>20007</v>
      </c>
      <c r="F40">
        <f t="shared" si="9"/>
        <v>20384</v>
      </c>
      <c r="G40">
        <f t="shared" si="10"/>
        <v>20294</v>
      </c>
      <c r="H40" s="2">
        <f t="shared" si="8"/>
        <v>-1.4539374496774591</v>
      </c>
      <c r="I40">
        <v>-1.4539374496774591</v>
      </c>
    </row>
    <row r="41" spans="1:13" s="1" customFormat="1">
      <c r="A41" s="1" t="s">
        <v>7</v>
      </c>
      <c r="B41" s="1">
        <v>125</v>
      </c>
      <c r="C41" s="1">
        <v>24</v>
      </c>
      <c r="D41">
        <f t="shared" si="4"/>
        <v>20355</v>
      </c>
      <c r="E41">
        <f t="shared" si="5"/>
        <v>20071</v>
      </c>
      <c r="F41">
        <f t="shared" si="9"/>
        <v>20467</v>
      </c>
      <c r="G41">
        <f t="shared" si="10"/>
        <v>20369</v>
      </c>
      <c r="H41" s="2">
        <f t="shared" si="8"/>
        <v>-1.0465257487332085</v>
      </c>
      <c r="I41">
        <v>-1.0465257487332085</v>
      </c>
      <c r="J41" s="3"/>
    </row>
    <row r="42" spans="1:13">
      <c r="A42" t="s">
        <v>7</v>
      </c>
      <c r="B42">
        <v>175</v>
      </c>
      <c r="C42">
        <v>0</v>
      </c>
      <c r="D42">
        <f>ROUND( $I42*J$43+J$42,0)</f>
        <v>21883</v>
      </c>
      <c r="E42">
        <f>ROUND( $H42*K$43+K$42,0)</f>
        <v>21052</v>
      </c>
      <c r="F42">
        <f>ROUND( $H42*L$43+L$42,0)</f>
        <v>21888</v>
      </c>
      <c r="G42">
        <f>ROUND( $H42*M$43+M$42,0)</f>
        <v>22104</v>
      </c>
      <c r="H42" s="2">
        <f>(D42-J$42)/J$43</f>
        <v>-0.17409500793832094</v>
      </c>
      <c r="I42">
        <v>-0.17409500793832094</v>
      </c>
      <c r="J42" s="2">
        <v>21928.8648648649</v>
      </c>
      <c r="K42" s="2">
        <v>21085.027027027001</v>
      </c>
      <c r="L42" s="2">
        <v>21940.432432432401</v>
      </c>
      <c r="M42" s="2">
        <v>22142.5945945946</v>
      </c>
    </row>
    <row r="43" spans="1:13">
      <c r="A43" t="s">
        <v>7</v>
      </c>
      <c r="B43">
        <v>175</v>
      </c>
      <c r="C43">
        <v>1</v>
      </c>
      <c r="D43">
        <f t="shared" ref="D43:D78" si="11">ROUND( $I43*J$43+J$42,0)</f>
        <v>22048</v>
      </c>
      <c r="E43">
        <f t="shared" ref="E43:E78" si="12">ROUND( $H43*K$43+K$42,0)</f>
        <v>21172</v>
      </c>
      <c r="F43">
        <f t="shared" ref="F43:F57" si="13">ROUND( $H43*L$43+L$42,0)</f>
        <v>22077</v>
      </c>
      <c r="G43">
        <f t="shared" ref="G43:G57" si="14">ROUND( $H43*M$43+M$42,0)</f>
        <v>22243</v>
      </c>
      <c r="H43" s="2">
        <f t="shared" ref="H43:H78" si="15">(D43-J$42)/J$43</f>
        <v>0.45221614318875336</v>
      </c>
      <c r="I43">
        <v>0.45221614318875336</v>
      </c>
      <c r="J43" s="2">
        <v>263.44732917987375</v>
      </c>
      <c r="K43" s="2">
        <v>192.04088619937818</v>
      </c>
      <c r="L43" s="2">
        <v>301.02918423127704</v>
      </c>
      <c r="M43" s="2">
        <v>223.0065396519536</v>
      </c>
    </row>
    <row r="44" spans="1:13">
      <c r="A44" t="s">
        <v>7</v>
      </c>
      <c r="B44">
        <v>175</v>
      </c>
      <c r="C44">
        <v>2</v>
      </c>
      <c r="D44">
        <f t="shared" si="11"/>
        <v>22294</v>
      </c>
      <c r="E44">
        <f t="shared" si="12"/>
        <v>21351</v>
      </c>
      <c r="F44">
        <f t="shared" si="13"/>
        <v>22358</v>
      </c>
      <c r="G44">
        <f t="shared" si="14"/>
        <v>22452</v>
      </c>
      <c r="H44" s="2">
        <f t="shared" si="15"/>
        <v>1.385989132141846</v>
      </c>
      <c r="I44">
        <v>1.385989132141846</v>
      </c>
    </row>
    <row r="45" spans="1:13">
      <c r="A45" t="s">
        <v>7</v>
      </c>
      <c r="B45">
        <v>175</v>
      </c>
      <c r="C45">
        <v>3</v>
      </c>
      <c r="D45">
        <f t="shared" si="11"/>
        <v>22243</v>
      </c>
      <c r="E45">
        <f t="shared" si="12"/>
        <v>21314</v>
      </c>
      <c r="F45">
        <f t="shared" si="13"/>
        <v>22299</v>
      </c>
      <c r="G45">
        <f t="shared" si="14"/>
        <v>22409</v>
      </c>
      <c r="H45" s="2">
        <f t="shared" si="15"/>
        <v>1.1924020490662048</v>
      </c>
      <c r="I45">
        <v>1.1924020490662048</v>
      </c>
      <c r="J45" s="2">
        <f>AVERAGE(D42:D78)</f>
        <v>22028.864864864863</v>
      </c>
      <c r="K45" s="2">
        <f t="shared" ref="K45:M45" si="16">AVERAGE(E42:E78)</f>
        <v>21157.891891891893</v>
      </c>
      <c r="L45" s="2">
        <f t="shared" si="16"/>
        <v>22054.675675675677</v>
      </c>
      <c r="M45" s="2">
        <f t="shared" si="16"/>
        <v>22227.162162162163</v>
      </c>
    </row>
    <row r="46" spans="1:13">
      <c r="A46" t="s">
        <v>7</v>
      </c>
      <c r="B46">
        <v>175</v>
      </c>
      <c r="C46">
        <v>4</v>
      </c>
      <c r="D46">
        <f t="shared" si="11"/>
        <v>22142</v>
      </c>
      <c r="E46">
        <f t="shared" si="12"/>
        <v>21240</v>
      </c>
      <c r="F46">
        <f t="shared" si="13"/>
        <v>22184</v>
      </c>
      <c r="G46">
        <f t="shared" si="14"/>
        <v>22323</v>
      </c>
      <c r="H46" s="2">
        <f t="shared" si="15"/>
        <v>0.8090237080732684</v>
      </c>
      <c r="I46">
        <v>0.8090237080732684</v>
      </c>
    </row>
    <row r="47" spans="1:13">
      <c r="A47" t="s">
        <v>7</v>
      </c>
      <c r="B47">
        <v>175</v>
      </c>
      <c r="C47">
        <v>5</v>
      </c>
      <c r="D47">
        <f t="shared" si="11"/>
        <v>21886</v>
      </c>
      <c r="E47">
        <f t="shared" si="12"/>
        <v>21054</v>
      </c>
      <c r="F47">
        <f t="shared" si="13"/>
        <v>21891</v>
      </c>
      <c r="G47">
        <f t="shared" si="14"/>
        <v>22106</v>
      </c>
      <c r="H47" s="2">
        <f t="shared" si="15"/>
        <v>-0.16270753246328323</v>
      </c>
      <c r="I47">
        <v>-0.16270753246328323</v>
      </c>
    </row>
    <row r="48" spans="1:13">
      <c r="A48" t="s">
        <v>7</v>
      </c>
      <c r="B48">
        <v>175</v>
      </c>
      <c r="C48">
        <v>6</v>
      </c>
      <c r="D48">
        <f t="shared" si="11"/>
        <v>22200</v>
      </c>
      <c r="E48">
        <f t="shared" si="12"/>
        <v>21283</v>
      </c>
      <c r="F48">
        <f t="shared" si="13"/>
        <v>22250</v>
      </c>
      <c r="G48">
        <f t="shared" si="14"/>
        <v>22372</v>
      </c>
      <c r="H48" s="2">
        <f t="shared" si="15"/>
        <v>1.029181567257331</v>
      </c>
      <c r="I48">
        <v>1.029181567257331</v>
      </c>
    </row>
    <row r="49" spans="1:9">
      <c r="A49" t="s">
        <v>7</v>
      </c>
      <c r="B49">
        <v>175</v>
      </c>
      <c r="C49">
        <v>7</v>
      </c>
      <c r="D49">
        <f t="shared" si="11"/>
        <v>22387</v>
      </c>
      <c r="E49">
        <f t="shared" si="12"/>
        <v>21419</v>
      </c>
      <c r="F49">
        <f t="shared" si="13"/>
        <v>22464</v>
      </c>
      <c r="G49">
        <f t="shared" si="14"/>
        <v>22530</v>
      </c>
      <c r="H49" s="2">
        <f t="shared" si="15"/>
        <v>1.7390008718680152</v>
      </c>
      <c r="I49">
        <v>1.7390008718680152</v>
      </c>
    </row>
    <row r="50" spans="1:9">
      <c r="A50" t="s">
        <v>7</v>
      </c>
      <c r="B50">
        <v>175</v>
      </c>
      <c r="C50">
        <v>8</v>
      </c>
      <c r="D50">
        <f t="shared" si="11"/>
        <v>22073</v>
      </c>
      <c r="E50">
        <f t="shared" si="12"/>
        <v>21190</v>
      </c>
      <c r="F50">
        <f t="shared" si="13"/>
        <v>22105</v>
      </c>
      <c r="G50">
        <f t="shared" si="14"/>
        <v>22265</v>
      </c>
      <c r="H50" s="2">
        <f t="shared" si="15"/>
        <v>0.54711177214740103</v>
      </c>
      <c r="I50">
        <v>0.54711177214740103</v>
      </c>
    </row>
    <row r="51" spans="1:9">
      <c r="A51" t="s">
        <v>7</v>
      </c>
      <c r="B51">
        <v>175</v>
      </c>
      <c r="C51">
        <v>9</v>
      </c>
      <c r="D51">
        <f t="shared" si="11"/>
        <v>22167</v>
      </c>
      <c r="E51">
        <f t="shared" si="12"/>
        <v>21259</v>
      </c>
      <c r="F51">
        <f t="shared" si="13"/>
        <v>22213</v>
      </c>
      <c r="G51">
        <f t="shared" si="14"/>
        <v>22344</v>
      </c>
      <c r="H51" s="2">
        <f t="shared" si="15"/>
        <v>0.90391933703191607</v>
      </c>
      <c r="I51">
        <v>0.90391933703191607</v>
      </c>
    </row>
    <row r="52" spans="1:9">
      <c r="A52" t="s">
        <v>7</v>
      </c>
      <c r="B52">
        <v>175</v>
      </c>
      <c r="C52">
        <v>10</v>
      </c>
      <c r="D52">
        <f t="shared" si="11"/>
        <v>22458</v>
      </c>
      <c r="E52">
        <f t="shared" si="12"/>
        <v>21471</v>
      </c>
      <c r="F52">
        <f t="shared" si="13"/>
        <v>22545</v>
      </c>
      <c r="G52">
        <f t="shared" si="14"/>
        <v>22591</v>
      </c>
      <c r="H52" s="2">
        <f t="shared" si="15"/>
        <v>2.0085044581105742</v>
      </c>
      <c r="I52">
        <v>2.0085044581105742</v>
      </c>
    </row>
    <row r="53" spans="1:9">
      <c r="A53" t="s">
        <v>7</v>
      </c>
      <c r="B53">
        <v>175</v>
      </c>
      <c r="C53">
        <v>11</v>
      </c>
      <c r="D53">
        <f t="shared" si="11"/>
        <v>21928</v>
      </c>
      <c r="E53">
        <f t="shared" si="12"/>
        <v>21084</v>
      </c>
      <c r="F53">
        <f t="shared" si="13"/>
        <v>21939</v>
      </c>
      <c r="G53">
        <f t="shared" si="14"/>
        <v>22142</v>
      </c>
      <c r="H53" s="2">
        <f t="shared" si="15"/>
        <v>-3.2828758127552318E-3</v>
      </c>
      <c r="I53">
        <v>-3.2828758127552318E-3</v>
      </c>
    </row>
    <row r="54" spans="1:9">
      <c r="A54" t="s">
        <v>7</v>
      </c>
      <c r="B54">
        <v>175</v>
      </c>
      <c r="C54">
        <v>12</v>
      </c>
      <c r="D54">
        <f t="shared" si="11"/>
        <v>22387</v>
      </c>
      <c r="E54">
        <f t="shared" si="12"/>
        <v>21419</v>
      </c>
      <c r="F54">
        <f t="shared" si="13"/>
        <v>22464</v>
      </c>
      <c r="G54">
        <f t="shared" si="14"/>
        <v>22530</v>
      </c>
      <c r="H54" s="2">
        <f t="shared" si="15"/>
        <v>1.7390008718680152</v>
      </c>
      <c r="I54">
        <v>1.7390008718680152</v>
      </c>
    </row>
    <row r="55" spans="1:9">
      <c r="A55" t="s">
        <v>7</v>
      </c>
      <c r="B55">
        <v>175</v>
      </c>
      <c r="C55">
        <v>13</v>
      </c>
      <c r="D55">
        <f t="shared" si="11"/>
        <v>22205</v>
      </c>
      <c r="E55">
        <f t="shared" si="12"/>
        <v>21286</v>
      </c>
      <c r="F55">
        <f t="shared" si="13"/>
        <v>22256</v>
      </c>
      <c r="G55">
        <f t="shared" si="14"/>
        <v>22376</v>
      </c>
      <c r="H55" s="2">
        <f t="shared" si="15"/>
        <v>1.0481606930490603</v>
      </c>
      <c r="I55">
        <v>1.0481606930490603</v>
      </c>
    </row>
    <row r="56" spans="1:9">
      <c r="A56" t="s">
        <v>7</v>
      </c>
      <c r="B56">
        <v>175</v>
      </c>
      <c r="C56">
        <v>14</v>
      </c>
      <c r="D56">
        <f t="shared" si="11"/>
        <v>21364</v>
      </c>
      <c r="E56">
        <f t="shared" si="12"/>
        <v>20673</v>
      </c>
      <c r="F56">
        <f t="shared" si="13"/>
        <v>21295</v>
      </c>
      <c r="G56">
        <f t="shared" si="14"/>
        <v>21664</v>
      </c>
      <c r="H56" s="2">
        <f t="shared" si="15"/>
        <v>-2.1441282651198454</v>
      </c>
      <c r="I56">
        <v>-2.1441282651198454</v>
      </c>
    </row>
    <row r="57" spans="1:9">
      <c r="A57" t="s">
        <v>7</v>
      </c>
      <c r="B57">
        <v>175</v>
      </c>
      <c r="C57">
        <v>15</v>
      </c>
      <c r="D57">
        <f t="shared" si="11"/>
        <v>21970</v>
      </c>
      <c r="E57">
        <f t="shared" si="12"/>
        <v>21115</v>
      </c>
      <c r="F57">
        <f t="shared" si="13"/>
        <v>21987</v>
      </c>
      <c r="G57">
        <f t="shared" si="14"/>
        <v>22177</v>
      </c>
      <c r="H57" s="2">
        <f t="shared" si="15"/>
        <v>0.15614178083777278</v>
      </c>
      <c r="I57">
        <v>0.15614178083777278</v>
      </c>
    </row>
    <row r="58" spans="1:9">
      <c r="A58" t="s">
        <v>7</v>
      </c>
      <c r="B58">
        <v>175</v>
      </c>
      <c r="C58">
        <v>16</v>
      </c>
      <c r="D58">
        <f t="shared" si="11"/>
        <v>21642</v>
      </c>
      <c r="E58">
        <f t="shared" si="12"/>
        <v>20876</v>
      </c>
      <c r="F58">
        <f t="shared" ref="F58:F78" si="17">ROUND( $H58*L$43+L$42,0)</f>
        <v>21613</v>
      </c>
      <c r="G58">
        <f t="shared" ref="G58:G78" si="18">ROUND( $H58*M$43+M$42,0)</f>
        <v>21900</v>
      </c>
      <c r="H58" s="2">
        <f t="shared" si="15"/>
        <v>-1.088888871099684</v>
      </c>
      <c r="I58">
        <v>-1.088888871099684</v>
      </c>
    </row>
    <row r="59" spans="1:9">
      <c r="A59" t="s">
        <v>7</v>
      </c>
      <c r="B59">
        <v>175</v>
      </c>
      <c r="C59">
        <v>17</v>
      </c>
      <c r="D59">
        <f t="shared" si="11"/>
        <v>21601</v>
      </c>
      <c r="E59">
        <f t="shared" si="12"/>
        <v>20846</v>
      </c>
      <c r="F59">
        <f t="shared" si="17"/>
        <v>21566</v>
      </c>
      <c r="G59">
        <f t="shared" si="18"/>
        <v>21865</v>
      </c>
      <c r="H59" s="2">
        <f t="shared" si="15"/>
        <v>-1.2445177025918661</v>
      </c>
      <c r="I59">
        <v>-1.2445177025918661</v>
      </c>
    </row>
    <row r="60" spans="1:9">
      <c r="A60" t="s">
        <v>7</v>
      </c>
      <c r="B60">
        <v>175</v>
      </c>
      <c r="C60">
        <v>18</v>
      </c>
      <c r="D60">
        <f t="shared" si="11"/>
        <v>21873</v>
      </c>
      <c r="E60">
        <f t="shared" si="12"/>
        <v>21044</v>
      </c>
      <c r="F60">
        <f t="shared" si="17"/>
        <v>21877</v>
      </c>
      <c r="G60">
        <f t="shared" si="18"/>
        <v>22095</v>
      </c>
      <c r="H60" s="2">
        <f t="shared" si="15"/>
        <v>-0.21205325952178</v>
      </c>
      <c r="I60">
        <v>-0.21205325952178</v>
      </c>
    </row>
    <row r="61" spans="1:9">
      <c r="A61" t="s">
        <v>7</v>
      </c>
      <c r="B61">
        <v>175</v>
      </c>
      <c r="C61">
        <v>19</v>
      </c>
      <c r="D61">
        <f t="shared" si="11"/>
        <v>22152</v>
      </c>
      <c r="E61">
        <f t="shared" si="12"/>
        <v>21248</v>
      </c>
      <c r="F61">
        <f t="shared" si="17"/>
        <v>22195</v>
      </c>
      <c r="G61">
        <f t="shared" si="18"/>
        <v>22331</v>
      </c>
      <c r="H61" s="2">
        <f t="shared" si="15"/>
        <v>0.84698195965672751</v>
      </c>
      <c r="I61">
        <v>0.84698195965672751</v>
      </c>
    </row>
    <row r="62" spans="1:9">
      <c r="A62" t="s">
        <v>7</v>
      </c>
      <c r="B62">
        <v>175</v>
      </c>
      <c r="C62">
        <v>20</v>
      </c>
      <c r="D62">
        <f t="shared" si="11"/>
        <v>21589</v>
      </c>
      <c r="E62">
        <f t="shared" si="12"/>
        <v>20837</v>
      </c>
      <c r="F62">
        <f t="shared" si="17"/>
        <v>21552</v>
      </c>
      <c r="G62">
        <f t="shared" si="18"/>
        <v>21855</v>
      </c>
      <c r="H62" s="2">
        <f t="shared" si="15"/>
        <v>-1.290067604492017</v>
      </c>
      <c r="I62">
        <v>-1.290067604492017</v>
      </c>
    </row>
    <row r="63" spans="1:9">
      <c r="A63" t="s">
        <v>7</v>
      </c>
      <c r="B63">
        <v>175</v>
      </c>
      <c r="C63">
        <v>21</v>
      </c>
      <c r="D63">
        <f t="shared" si="11"/>
        <v>21825</v>
      </c>
      <c r="E63">
        <f t="shared" si="12"/>
        <v>21009</v>
      </c>
      <c r="F63">
        <f t="shared" si="17"/>
        <v>21822</v>
      </c>
      <c r="G63">
        <f t="shared" si="18"/>
        <v>22055</v>
      </c>
      <c r="H63" s="2">
        <f t="shared" si="15"/>
        <v>-0.39425286712238344</v>
      </c>
      <c r="I63">
        <v>-0.39425286712238344</v>
      </c>
    </row>
    <row r="64" spans="1:9">
      <c r="A64" t="s">
        <v>7</v>
      </c>
      <c r="B64">
        <v>175</v>
      </c>
      <c r="C64">
        <v>22</v>
      </c>
      <c r="D64">
        <f t="shared" si="11"/>
        <v>21901</v>
      </c>
      <c r="E64">
        <f t="shared" si="12"/>
        <v>21065</v>
      </c>
      <c r="F64">
        <f t="shared" si="17"/>
        <v>21909</v>
      </c>
      <c r="G64">
        <f t="shared" si="18"/>
        <v>22119</v>
      </c>
      <c r="H64" s="2">
        <f t="shared" si="15"/>
        <v>-0.10577015508809466</v>
      </c>
      <c r="I64">
        <v>-0.10577015508809466</v>
      </c>
    </row>
    <row r="65" spans="1:9">
      <c r="A65" t="s">
        <v>7</v>
      </c>
      <c r="B65">
        <v>175</v>
      </c>
      <c r="C65">
        <v>23</v>
      </c>
      <c r="D65">
        <f t="shared" si="11"/>
        <v>22169</v>
      </c>
      <c r="E65">
        <f t="shared" si="12"/>
        <v>21260</v>
      </c>
      <c r="F65">
        <f t="shared" si="17"/>
        <v>22215</v>
      </c>
      <c r="G65">
        <f t="shared" si="18"/>
        <v>22346</v>
      </c>
      <c r="H65" s="2">
        <f t="shared" si="15"/>
        <v>0.9115109873486078</v>
      </c>
      <c r="I65">
        <v>0.9115109873486078</v>
      </c>
    </row>
    <row r="66" spans="1:9">
      <c r="A66" t="s">
        <v>7</v>
      </c>
      <c r="B66">
        <v>175</v>
      </c>
      <c r="C66">
        <v>24</v>
      </c>
      <c r="D66">
        <f t="shared" si="11"/>
        <v>21779</v>
      </c>
      <c r="E66">
        <f t="shared" si="12"/>
        <v>20976</v>
      </c>
      <c r="F66">
        <f t="shared" si="17"/>
        <v>21769</v>
      </c>
      <c r="G66">
        <f t="shared" si="18"/>
        <v>22016</v>
      </c>
      <c r="H66" s="2">
        <f t="shared" si="15"/>
        <v>-0.56886082440629504</v>
      </c>
      <c r="I66">
        <v>-0.56886082440629504</v>
      </c>
    </row>
    <row r="67" spans="1:9">
      <c r="A67" t="s">
        <v>7</v>
      </c>
      <c r="B67">
        <v>175</v>
      </c>
      <c r="C67">
        <v>25</v>
      </c>
      <c r="D67">
        <f t="shared" si="11"/>
        <v>21893</v>
      </c>
      <c r="E67">
        <f t="shared" si="12"/>
        <v>21059</v>
      </c>
      <c r="F67">
        <f t="shared" si="17"/>
        <v>21899</v>
      </c>
      <c r="G67">
        <f t="shared" si="18"/>
        <v>22112</v>
      </c>
      <c r="H67" s="2">
        <f t="shared" si="15"/>
        <v>-0.13613675635486192</v>
      </c>
      <c r="I67">
        <v>-0.13613675635486192</v>
      </c>
    </row>
    <row r="68" spans="1:9">
      <c r="A68" t="s">
        <v>7</v>
      </c>
      <c r="B68">
        <v>175</v>
      </c>
      <c r="C68">
        <v>26</v>
      </c>
      <c r="D68">
        <f t="shared" si="11"/>
        <v>21983</v>
      </c>
      <c r="E68">
        <f t="shared" si="12"/>
        <v>21124</v>
      </c>
      <c r="F68">
        <f t="shared" si="17"/>
        <v>22002</v>
      </c>
      <c r="G68">
        <f t="shared" si="18"/>
        <v>22188</v>
      </c>
      <c r="H68" s="2">
        <f t="shared" si="15"/>
        <v>0.20548750789626954</v>
      </c>
      <c r="I68">
        <v>0.20548750789626954</v>
      </c>
    </row>
    <row r="69" spans="1:9">
      <c r="A69" t="s">
        <v>7</v>
      </c>
      <c r="B69">
        <v>175</v>
      </c>
      <c r="C69">
        <v>27</v>
      </c>
      <c r="D69">
        <f t="shared" si="11"/>
        <v>22166</v>
      </c>
      <c r="E69">
        <f t="shared" si="12"/>
        <v>21258</v>
      </c>
      <c r="F69">
        <f t="shared" si="17"/>
        <v>22211</v>
      </c>
      <c r="G69">
        <f t="shared" si="18"/>
        <v>22343</v>
      </c>
      <c r="H69" s="2">
        <f t="shared" si="15"/>
        <v>0.90012351187357009</v>
      </c>
      <c r="I69">
        <v>0.90012351187357009</v>
      </c>
    </row>
    <row r="70" spans="1:9">
      <c r="A70" t="s">
        <v>7</v>
      </c>
      <c r="B70">
        <v>175</v>
      </c>
      <c r="C70">
        <v>28</v>
      </c>
      <c r="D70">
        <f t="shared" si="11"/>
        <v>22682</v>
      </c>
      <c r="E70">
        <f t="shared" si="12"/>
        <v>21634</v>
      </c>
      <c r="F70">
        <f t="shared" si="17"/>
        <v>22801</v>
      </c>
      <c r="G70">
        <f t="shared" si="18"/>
        <v>22780</v>
      </c>
      <c r="H70" s="2">
        <f t="shared" si="15"/>
        <v>2.8587692935800573</v>
      </c>
      <c r="I70">
        <v>2.8587692935800573</v>
      </c>
    </row>
    <row r="71" spans="1:9">
      <c r="A71" t="s">
        <v>7</v>
      </c>
      <c r="B71">
        <v>175</v>
      </c>
      <c r="C71">
        <v>29</v>
      </c>
      <c r="D71">
        <f t="shared" si="11"/>
        <v>21911</v>
      </c>
      <c r="E71">
        <f t="shared" si="12"/>
        <v>21072</v>
      </c>
      <c r="F71">
        <f t="shared" si="17"/>
        <v>21920</v>
      </c>
      <c r="G71">
        <f t="shared" si="18"/>
        <v>22127</v>
      </c>
      <c r="H71" s="2">
        <f t="shared" si="15"/>
        <v>-6.7811903504635618E-2</v>
      </c>
      <c r="I71">
        <v>-6.7811903504635618E-2</v>
      </c>
    </row>
    <row r="72" spans="1:9">
      <c r="A72" t="s">
        <v>7</v>
      </c>
      <c r="B72">
        <v>175</v>
      </c>
      <c r="C72">
        <v>30</v>
      </c>
      <c r="D72">
        <f t="shared" si="11"/>
        <v>22200</v>
      </c>
      <c r="E72">
        <f t="shared" si="12"/>
        <v>21283</v>
      </c>
      <c r="F72">
        <f t="shared" si="17"/>
        <v>22250</v>
      </c>
      <c r="G72">
        <f t="shared" si="18"/>
        <v>22372</v>
      </c>
      <c r="H72" s="2">
        <f t="shared" si="15"/>
        <v>1.029181567257331</v>
      </c>
      <c r="I72">
        <v>1.029181567257331</v>
      </c>
    </row>
    <row r="73" spans="1:9">
      <c r="A73" t="s">
        <v>7</v>
      </c>
      <c r="B73">
        <v>175</v>
      </c>
      <c r="C73">
        <v>31</v>
      </c>
      <c r="D73">
        <f t="shared" si="11"/>
        <v>22143</v>
      </c>
      <c r="E73">
        <f t="shared" si="12"/>
        <v>21241</v>
      </c>
      <c r="F73">
        <f t="shared" si="17"/>
        <v>22185</v>
      </c>
      <c r="G73">
        <f t="shared" si="18"/>
        <v>22324</v>
      </c>
      <c r="H73" s="2">
        <f t="shared" si="15"/>
        <v>0.81281953323161427</v>
      </c>
      <c r="I73">
        <v>0.81281953323161427</v>
      </c>
    </row>
    <row r="74" spans="1:9">
      <c r="A74" t="s">
        <v>7</v>
      </c>
      <c r="B74">
        <v>175</v>
      </c>
      <c r="C74">
        <v>32</v>
      </c>
      <c r="D74">
        <f t="shared" si="11"/>
        <v>21968</v>
      </c>
      <c r="E74">
        <f t="shared" si="12"/>
        <v>21114</v>
      </c>
      <c r="F74">
        <f t="shared" si="17"/>
        <v>21985</v>
      </c>
      <c r="G74">
        <f t="shared" si="18"/>
        <v>22176</v>
      </c>
      <c r="H74" s="2">
        <f t="shared" si="15"/>
        <v>0.14855013052108096</v>
      </c>
      <c r="I74">
        <v>0.14855013052108096</v>
      </c>
    </row>
    <row r="75" spans="1:9">
      <c r="A75" t="s">
        <v>7</v>
      </c>
      <c r="B75">
        <v>175</v>
      </c>
      <c r="C75">
        <v>33</v>
      </c>
      <c r="D75">
        <f t="shared" si="11"/>
        <v>21622</v>
      </c>
      <c r="E75">
        <f t="shared" si="12"/>
        <v>20861</v>
      </c>
      <c r="F75">
        <f t="shared" si="17"/>
        <v>21590</v>
      </c>
      <c r="G75">
        <f t="shared" si="18"/>
        <v>21883</v>
      </c>
      <c r="H75" s="2">
        <f t="shared" si="15"/>
        <v>-1.164805374266602</v>
      </c>
      <c r="I75">
        <v>-1.164805374266602</v>
      </c>
    </row>
    <row r="76" spans="1:9">
      <c r="A76" t="s">
        <v>7</v>
      </c>
      <c r="B76">
        <v>175</v>
      </c>
      <c r="C76">
        <v>34</v>
      </c>
      <c r="D76">
        <f t="shared" si="11"/>
        <v>22146</v>
      </c>
      <c r="E76">
        <f t="shared" si="12"/>
        <v>21243</v>
      </c>
      <c r="F76">
        <f t="shared" si="17"/>
        <v>22189</v>
      </c>
      <c r="G76">
        <f t="shared" si="18"/>
        <v>22326</v>
      </c>
      <c r="H76" s="2">
        <f t="shared" si="15"/>
        <v>0.82420700870665209</v>
      </c>
      <c r="I76">
        <v>0.82420700870665209</v>
      </c>
    </row>
    <row r="77" spans="1:9">
      <c r="A77" t="s">
        <v>7</v>
      </c>
      <c r="B77">
        <v>175</v>
      </c>
      <c r="C77">
        <v>34</v>
      </c>
      <c r="D77">
        <f t="shared" si="11"/>
        <v>22094</v>
      </c>
      <c r="E77">
        <f t="shared" si="12"/>
        <v>21205</v>
      </c>
      <c r="F77">
        <f t="shared" si="17"/>
        <v>22129</v>
      </c>
      <c r="G77">
        <f t="shared" si="18"/>
        <v>22282</v>
      </c>
      <c r="H77" s="2">
        <f t="shared" si="15"/>
        <v>0.62682410047266501</v>
      </c>
      <c r="I77">
        <v>0.62682410047266501</v>
      </c>
    </row>
    <row r="78" spans="1:9">
      <c r="A78" t="s">
        <v>7</v>
      </c>
      <c r="B78">
        <v>175</v>
      </c>
      <c r="C78">
        <v>34</v>
      </c>
      <c r="D78">
        <f t="shared" si="11"/>
        <v>22094</v>
      </c>
      <c r="E78">
        <f t="shared" si="12"/>
        <v>21205</v>
      </c>
      <c r="F78">
        <f t="shared" si="17"/>
        <v>22129</v>
      </c>
      <c r="G78">
        <f t="shared" si="18"/>
        <v>22282</v>
      </c>
      <c r="H78" s="2">
        <f t="shared" si="15"/>
        <v>0.62682410047266501</v>
      </c>
      <c r="I78">
        <v>0.62682410047266501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res_multidro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2026-10-20T15:54:49Z</dcterms:created>
  <dcterms:modified xsi:type="dcterms:W3CDTF">2026-10-21T07:54:56Z</dcterms:modified>
</cp:coreProperties>
</file>